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ocuments\Curso Excel Santander 2026\"/>
    </mc:Choice>
  </mc:AlternateContent>
  <xr:revisionPtr revIDLastSave="0" documentId="13_ncr:1_{BC382BCF-FB97-46DC-85A3-BC00EC6B5D6C}" xr6:coauthVersionLast="47" xr6:coauthVersionMax="47" xr10:uidLastSave="{00000000-0000-0000-0000-000000000000}"/>
  <bookViews>
    <workbookView xWindow="-120" yWindow="-120" windowWidth="20730" windowHeight="11040" tabRatio="0" xr2:uid="{1C1F6274-6663-434E-B6B1-2886BA4432A3}"/>
  </bookViews>
  <sheets>
    <sheet name="TITULAR" sheetId="7" r:id="rId1"/>
    <sheet name="INFORMES" sheetId="6" r:id="rId2"/>
    <sheet name="NOTAS" sheetId="5" r:id="rId3"/>
    <sheet name="TABELA_apoio" sheetId="2" state="hidden" r:id="rId4"/>
  </sheets>
  <functionGroups builtInGroupCount="19"/>
  <definedNames>
    <definedName name="Lista_Bancos">OFFSET(INFORMES!$Z$1,0,0,COUNTA(INFORMES!$Z$1:$Z$499),1)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5" l="1"/>
  <c r="C7" i="6"/>
  <c r="S2" i="2"/>
  <c r="S489" i="2" s="1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A490" i="2"/>
</calcChain>
</file>

<file path=xl/sharedStrings.xml><?xml version="1.0" encoding="utf-8"?>
<sst xmlns="http://schemas.openxmlformats.org/spreadsheetml/2006/main" count="571" uniqueCount="537">
  <si>
    <t>104 - Caixa Econômica Federal</t>
  </si>
  <si>
    <t>184 - Banco Itaú BBA S.A.</t>
  </si>
  <si>
    <t>bancos</t>
  </si>
  <si>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</si>
  <si>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</si>
  <si>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</si>
  <si>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</si>
  <si>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</si>
  <si>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</si>
  <si>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</si>
  <si>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</si>
  <si>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</si>
  <si>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</si>
  <si>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</si>
  <si>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</si>
  <si>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</si>
  <si>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</si>
  <si>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1. DADOS DO TITULAR</t>
  </si>
  <si>
    <t>SIM</t>
  </si>
  <si>
    <t>NÃO</t>
  </si>
  <si>
    <t>Marcella Pereira Stark</t>
  </si>
  <si>
    <t>Thiago Almeida Stark</t>
  </si>
  <si>
    <t>Rua Jorge Henrique Beijor. Nº412</t>
  </si>
  <si>
    <t>Rua Jorge H. Beijor. Nº412</t>
  </si>
  <si>
    <t>mpereira@icloud.com</t>
  </si>
  <si>
    <t>Preencha os dados da sua pessoa física abaixo</t>
  </si>
  <si>
    <t>BANCO</t>
  </si>
  <si>
    <t>VALOR ATUAL</t>
  </si>
  <si>
    <t>ANEXO 🖇️</t>
  </si>
  <si>
    <t>1 - Banco do Brasil S.A.</t>
  </si>
  <si>
    <t>3 - Banco da Amazônia S.A.</t>
  </si>
  <si>
    <t>4 - Banco do Nordeste do Brasil S.A.</t>
  </si>
  <si>
    <t>7 - BANCO NACIONAL DE DESENVOLVIMENTO ECONOMICO E SOCIAL</t>
  </si>
  <si>
    <t>10 - CREDICOAMO CREDITO RURAL COOPERATIVA</t>
  </si>
  <si>
    <t>11 - UBS (BRASIL) CORRETORA DE VALORES S.A.</t>
  </si>
  <si>
    <t>12 - Banco Inbursa S.A.</t>
  </si>
  <si>
    <t>14 - STATE STREET BRASIL S.A. - BANCO COMERCIAL</t>
  </si>
  <si>
    <t>15 - UBS BB CORRETORA DE CÂMBIO TÍTULOS E VALORES MOBILIÁRIOS S.A.</t>
  </si>
  <si>
    <t>16 - COOPERATIVA DE CRÉDITO MÚTUO DOS DESPACHANTES DE TRÂNSITO DE SANTA CATARINA E RIO GRANDE DO SUL - SICOOB CREDITRAN</t>
  </si>
  <si>
    <t>17 - BNY Mellon Banco S.A.</t>
  </si>
  <si>
    <t>18 - Banco Tricury S.A.</t>
  </si>
  <si>
    <t>21 - BANESTES S.A. Banco do Estado do Espírito Santo</t>
  </si>
  <si>
    <t>24 - Banco Bandepe S.A.</t>
  </si>
  <si>
    <t>25 - Banco Alfa S.A.</t>
  </si>
  <si>
    <t>29 - Banco Itaú Consignado S.A.</t>
  </si>
  <si>
    <t>33 - BANCO SANTANDER (BRASIL) S.A.</t>
  </si>
  <si>
    <t>36 - Banco Bradesco BBI S.A.</t>
  </si>
  <si>
    <t>37 - Banco do Estado do Pará S.A.</t>
  </si>
  <si>
    <t>40 - Banco Cargill S.A.</t>
  </si>
  <si>
    <t>41 - Banco do Estado do Rio Grande do Sul S.A.</t>
  </si>
  <si>
    <t>47 - Banco do Estado de Sergipe S.A.</t>
  </si>
  <si>
    <t>60 - Confidence Corretora de Câmbio S.A.</t>
  </si>
  <si>
    <t>62 - Hipercard Banco Múltiplo S.A.</t>
  </si>
  <si>
    <t>63 - Banco Bradescard S.A.</t>
  </si>
  <si>
    <t>64 - Goldman Sachs do Brasil Banco Múltiplo S.A.</t>
  </si>
  <si>
    <t>65 - Banco AndBank (Brasil) S.A.</t>
  </si>
  <si>
    <t>66 - BANCO MORGAN STANLEY S.A.</t>
  </si>
  <si>
    <t>69 - Banco Crefisa S.A.</t>
  </si>
  <si>
    <t>70 - BRB - Banco de Brasília S.A.</t>
  </si>
  <si>
    <t>74 - Banco J. Safra S.A.</t>
  </si>
  <si>
    <t>75 - BANCO ABN AMRO CLEARING S.A.</t>
  </si>
  <si>
    <t>76 - Banco KDB do Brasil S.A.</t>
  </si>
  <si>
    <t>77 - Banco Inter S.A.</t>
  </si>
  <si>
    <t>78 - Haitong Banco de Investimento do Brasil S.A.</t>
  </si>
  <si>
    <t>79 - PICPAY BANK - BANCO MÚLTIPLO S.A</t>
  </si>
  <si>
    <t>80 - BT CORRETORA DE CÂMBIO LTDA.</t>
  </si>
  <si>
    <t>81 - BancoSeguro S.A.</t>
  </si>
  <si>
    <t>82 - BANCO TOPÁZIO S.A.</t>
  </si>
  <si>
    <t>83 - Banco da China Brasil S.A.</t>
  </si>
  <si>
    <t>84 - SISPRIME DO BRASIL - COOPERATIVA DE CRÉDITO</t>
  </si>
  <si>
    <t>85 - Cooperativa Central de Crédito - Ailos</t>
  </si>
  <si>
    <t>88 - BANCO RANDON S.A.</t>
  </si>
  <si>
    <t>89 - CREDISAN COOPERATIVA DE CRÉDITO</t>
  </si>
  <si>
    <t>91 - CENTRAL DE COOPERATIVAS DE ECONOMIA E CRÉDITO MÚTUO DO ESTADO DO RIO GRANDE DO S</t>
  </si>
  <si>
    <t>92 - BRK S.A. Crédito Financiamento e Investimento</t>
  </si>
  <si>
    <t>93 - PÓLOCRED   SOCIEDADE DE CRÉDITO AO MICROEMPREENDEDOR E À EMPRESA DE PEQUENO PORTE LTDA.</t>
  </si>
  <si>
    <t>94 - Banco Finaxis S.A.</t>
  </si>
  <si>
    <t>95 - BANCO TRAVELEX S.A.</t>
  </si>
  <si>
    <t>96 - Banco B3 S.A.</t>
  </si>
  <si>
    <t>97 - Credisis - Central de Cooperativas de Crédito Ltda.</t>
  </si>
  <si>
    <t>98 - Credialiança Cooperativa de Crédito Rural</t>
  </si>
  <si>
    <t>99 - UNIPRIME CENTRAL NACIONAL - CENTRAL NACIONAL DE COOPERATIVA DE CREDITO</t>
  </si>
  <si>
    <t>100 - Planner Corretora de Valores S.A.</t>
  </si>
  <si>
    <t>101 - WARREN RENA DISTRIBUIDORA DE TÍTULOS E VALORES MOBILIÁRIOS LTDA</t>
  </si>
  <si>
    <t>102 - XP INVESTIMENTOS CORRETORA DE CÂMBIOTÍTULOS E VALORES MOBILIÁRIOS S/A</t>
  </si>
  <si>
    <t>105 - Lecca Crédito Financiamento e Investimento S/A</t>
  </si>
  <si>
    <t>107 - Banco Bocom BBM S.A.</t>
  </si>
  <si>
    <t>108 - PORTOCRED S.A. - CREDITO FINANCIAMENTO E INVESTIMENTO</t>
  </si>
  <si>
    <t>111 - OLIVEIRA TRUST DISTRIBUIDORA DE TÍTULOS E VALORES MOBILIARIOS S.A.</t>
  </si>
  <si>
    <t>113 - NEON CORRETORA DE TÍTULOS E VALORES MOBILIÁRIOS S.A.</t>
  </si>
  <si>
    <t>114 - Central Cooperativa de Crédito no Estado do Espírito Santo - CECOOP</t>
  </si>
  <si>
    <t>117 - ADVANCED CORRETORA DE CÂMBIO LTDA - EM LIQUIDAÇÃO EXTRAJUDICIAL</t>
  </si>
  <si>
    <t>119 - Banco Western Union do Brasil S.A.</t>
  </si>
  <si>
    <t>120 - BANCO RODOBENS S.A.</t>
  </si>
  <si>
    <t>121 - Banco Agibank S.A.</t>
  </si>
  <si>
    <t>122 - Banco Bradesco BERJ S.A.</t>
  </si>
  <si>
    <t>124 - Banco Woori Bank do Brasil S.A.</t>
  </si>
  <si>
    <t>125 - BANCO GENIAL S.A.</t>
  </si>
  <si>
    <t>126 - BR Partners Banco de Investimento S.A.</t>
  </si>
  <si>
    <t>127 - Codepe Corretora de Valores e Câmbio S.A.</t>
  </si>
  <si>
    <t>128 - BRAZA BANK S.A. BANCO DE CÂMBIO</t>
  </si>
  <si>
    <t>129 - UBS BB BANCO DE INVESTIMENTO S.A.</t>
  </si>
  <si>
    <t>130 - CARUANA S.A. - SOCIEDADE DE CRÉDITO FINANCIAMENTO E INVESTIMENTO</t>
  </si>
  <si>
    <t>131 - TULLETT PREBON BRASIL CORRETORA DE VALORES E CÂMBIO LTDA</t>
  </si>
  <si>
    <t>132 - ICBC do Brasil Banco Múltiplo S.A.</t>
  </si>
  <si>
    <t>133 - CONFEDERAÇÃO NACIONAL DAS COOPERATIVAS CENTRAIS DE CRÉDITO E ECONOMIA FAMILIAR E SOLIDÁRIA - CRESOL CONFEDERAÇÃO</t>
  </si>
  <si>
    <t>134 - BGC LIQUIDEZ DISTRIBUIDORA DE TÍTULOS E VALORES MOBILIÁRIOS LTDA</t>
  </si>
  <si>
    <t>136 - COOPERATIVA CENTRAL DE CRÉDITO UNICRED DO BRASIL - UNICRED DO BRASIL</t>
  </si>
  <si>
    <t>138 - Get Money Corretora de Câmbio S.A.</t>
  </si>
  <si>
    <t>139 - Intesa Sanpaolo Brasil S.A. - Banco Múltiplo</t>
  </si>
  <si>
    <t>140 - NU INVESTIMENTOS S.A. - CORRETORA DE TÍTULOS E VALORES MOBILIÁRIOS</t>
  </si>
  <si>
    <t>141 - BANCO MASTER DE INVESTIMENTO S.A. - EM LIQUIDAÇÃO EXTRAJUDICIAL</t>
  </si>
  <si>
    <t>142 - Broker Brasil Corretora de Câmbio Ltda.</t>
  </si>
  <si>
    <t>143 - INTEX BANK BANCO DE CÂMBIO S.A.</t>
  </si>
  <si>
    <t>144 - EBURY BANCO DE CÂMBIO S.A.</t>
  </si>
  <si>
    <t>145 - LEVYCAM - CORRETORA DE CAMBIO E VALORES LTDA.</t>
  </si>
  <si>
    <t>146 - GUITTA CORRETORA DE CAMBIO LTDA.</t>
  </si>
  <si>
    <t>149 - Facta Financeira S.A. - Crédito Financiamento e Investimento</t>
  </si>
  <si>
    <t>157 - ICAP do Brasil Corretora de Títulos e Valores Mobiliários Ltda.</t>
  </si>
  <si>
    <t>159 - Casa do Crédito S.A. Sociedade de Crédito ao Microempreendedor</t>
  </si>
  <si>
    <t>163 - Commerzbank Brasil S.A. - Banco Múltiplo</t>
  </si>
  <si>
    <t>173 - BRL Trust Distribuidora de Títulos e Valores Mobiliários S.A.</t>
  </si>
  <si>
    <t>174 - PEFISA S.A. - CRÉDITO FINANCIAMENTO E INVESTIMENTO</t>
  </si>
  <si>
    <t>177 - SAFRA ASSET CORRETORA DE TÍTULOS E VALORES MOBILIÁRIOS S.A.</t>
  </si>
  <si>
    <t>180 - CM CAPITAL MARKETS CORRETORA DE CÂMBIO TÍTULOS E VALORES MOBILIÁRIOS LTDA</t>
  </si>
  <si>
    <t>183 - SOCRED S.A. - SOCIEDADE DE CRÉDITO AO MICROEMPREENDEDOR E À EMPRESA DE PEQUENO PORTE</t>
  </si>
  <si>
    <t>188 - ATIVA INVESTIMENTOS S.A. CORRETORA DE TÍTULOS CÂMBIO E VALORES</t>
  </si>
  <si>
    <t>189 - HS FINANCEIRA S/A CREDITO FINANCIAMENTO E INVESTIMENTOS</t>
  </si>
  <si>
    <t>190 - SERVICOOP - COOPERATIVA DE CRÉDITO DOS SERVIDORES PÚBLICOS ESTADUAIS E MUNICIPAIS DO RIO GRANDE DO SUL</t>
  </si>
  <si>
    <t>191 - Nova Futura Corretora de Títulos e Valores Mobiliários Ltda.</t>
  </si>
  <si>
    <t>194 - UNIDA DISTRIBUIDORA DE TÍTULOS E VALORES MOBILIÁRIOS LTDA.</t>
  </si>
  <si>
    <t>195 - VALOR S/A SOCIEDADE DE CRÉDITO FINANCIAMENTO E INVESTIMENTO</t>
  </si>
  <si>
    <t>196 - FAIR CORRETORA DE CAMBIO S.A.</t>
  </si>
  <si>
    <t>197 - STONE INSTITUIÇÃO DE PAGAMENTO S.A.</t>
  </si>
  <si>
    <t>208 - Banco BTG Pactual S.A.</t>
  </si>
  <si>
    <t>212 - Banco Original S.A.</t>
  </si>
  <si>
    <t>213 - Banco Arbi S.A.</t>
  </si>
  <si>
    <t>217 - Banco John Deere S.A.</t>
  </si>
  <si>
    <t>218 - Banco BS2 S.A.</t>
  </si>
  <si>
    <t>222 - BANCO CRÉDIT AGRICOLE BRASIL S.A.</t>
  </si>
  <si>
    <t>224 - Banco Fibra S.A.</t>
  </si>
  <si>
    <t>233 - BANCO BMG SOLUÇÕES FINANCEIRAS S.A.</t>
  </si>
  <si>
    <t>237 - Banco Bradesco S.A.</t>
  </si>
  <si>
    <t>241 - BANCO CLASSICO S.A.</t>
  </si>
  <si>
    <t>243 - BANCO MASTER S/A - EM LIQUIDAÇÃO EXTRAJUDICIAL</t>
  </si>
  <si>
    <t>246 - Banco ABC Brasil S.A.</t>
  </si>
  <si>
    <t>249 - Banco Investcred Unibanco S.A.</t>
  </si>
  <si>
    <t>250 - BANCO BMG CONSIGNADO S.A.</t>
  </si>
  <si>
    <t>253 - Bexs Corretora de Câmbio S/A</t>
  </si>
  <si>
    <t>254 - PARANÁ BANCO S.A.</t>
  </si>
  <si>
    <t>259 - MONEYCORP BANCO DE CÂMBIO S.A.</t>
  </si>
  <si>
    <t>260 - NU PAGAMENTOS S.A. - INSTITUIÇÃO DE PAGAMENTO</t>
  </si>
  <si>
    <t>265 - Banco Fator S.A.</t>
  </si>
  <si>
    <t>266 - BANCO CEDULA S.A.</t>
  </si>
  <si>
    <t>268 - BARI COMPANHIA HIPOTECÁRIA</t>
  </si>
  <si>
    <t>269 - BANCO HSBC S.A.</t>
  </si>
  <si>
    <t>270 - SAGITUR CORRETORA DE CÂMBIO S.A.</t>
  </si>
  <si>
    <t>271 - BPY CORRETORA DE CÂMBIO TÍTULOS E VALORES MOBILIÁRIOS S.A.</t>
  </si>
  <si>
    <t>272 - AGK CORRETORA DE CAMBIO S.A.</t>
  </si>
  <si>
    <t>273 - COOPERATIVA DE CREDITO SULCREDI AMPLEA</t>
  </si>
  <si>
    <t>274 - BMP SOCIEDADE DE CRÉDITO AO MICROEMPREENDEDOR E A EMPRESA DE PEQUENO PORTE LTDA.</t>
  </si>
  <si>
    <t>276 - BANCO SENFF S.A.</t>
  </si>
  <si>
    <t>278 - Genial Investimentos Corretora de Valores Mobiliários S.A.</t>
  </si>
  <si>
    <t>279 - PRIMACREDI CREDISIS - COOPERATIVA DE CRÉDITO DE PRIMAVERA DO LESTE</t>
  </si>
  <si>
    <t>280 - WILL FINANCEIRA S.A. CRÉDITO FINANCIAMENTO E INVESTIMENTO - EM LIQUIDAÇÃO EXTRAJUDICIAL</t>
  </si>
  <si>
    <t>281 - Cooperativa de Crédito Rural Coopavel</t>
  </si>
  <si>
    <t>283 - RB INVESTIMENTOS DISTRIBUIDORA DE TITULOS E VALORES MOBILIARIOS LIMITADA</t>
  </si>
  <si>
    <t>285 - FRENTE CORRETORA DE CÂMBIO S.A.</t>
  </si>
  <si>
    <t>286 - UNIPRIME OURO - COOPERATIVA DE CRÉDITO DE OURO</t>
  </si>
  <si>
    <t>288 - CAROL DISTRIBUIDORA DE TITULOS E VALORES MOBILIARIOS LTDA.</t>
  </si>
  <si>
    <t>289 - EFX CORRETORA DE CÂMBIO LTDA.</t>
  </si>
  <si>
    <t>290 - PAGSEGURO INTERNET INSTITUIÇÃO DE PAGAMENTO S.A.</t>
  </si>
  <si>
    <t>292 - GALAPAGOS CAPITAL DISTRIBUIDORA DE TÍTULOS E VALORES MOBILIÁRIOS S.A.</t>
  </si>
  <si>
    <t>293 - Lastro RDV Distribuidora de Títulos e Valores Mobiliários Ltda.</t>
  </si>
  <si>
    <t>296 - OZ CORRETORA DE CÂMBIO S.A.</t>
  </si>
  <si>
    <t>298 - VIPS CORRETORA DE CÂMBIO S.A.</t>
  </si>
  <si>
    <t>299 - BANCO AFINZ S.A. - BANCO MÚLTIPLO</t>
  </si>
  <si>
    <t>300 - Banco de la Nacion Argentina</t>
  </si>
  <si>
    <t>301 - DOCK INSTITUIÇÃO DE PAGAMENTO S.A.</t>
  </si>
  <si>
    <t>305 - FOURTRADE CORRETORA DE CÂMBIO LTDA.</t>
  </si>
  <si>
    <t>306 - PORTOPAR DISTRIBUIDORA DE TITULOS E VALORES MOBILIARIOS LTDA.</t>
  </si>
  <si>
    <t>307 - Terra Investimentos Distribuidora de Títulos e Valores Mobiliários Ltda.</t>
  </si>
  <si>
    <t>309 - CAMBIONET CORRETORA DE CÂMBIO LTDA.</t>
  </si>
  <si>
    <t>310 - VORTX DISTRIBUIDORA DE TITULOS E VALORES MOBILIARIOS LTDA.</t>
  </si>
  <si>
    <t>311 - DOURADA CORRETORA DE CÂMBIO LTDA.</t>
  </si>
  <si>
    <t>312 - HSCM - SOCIEDADE DE CRÉDITO AO MICROEMPREENDEDOR E À EMPRESA DE PEQUENO PORTE LTDA.</t>
  </si>
  <si>
    <t>313 - AMAZÔNIA CORRETORA DE CÂMBIO LTDA.</t>
  </si>
  <si>
    <t>315 - PI Distribuidora de Títulos e Valores Mobiliários S.A.</t>
  </si>
  <si>
    <t>318 - Banco BMG S.A.</t>
  </si>
  <si>
    <t>319 - OM DISTRIBUIDORA DE TÍTULOS E VALORES MOBILIÁRIOS LTDA</t>
  </si>
  <si>
    <t>320 - BANK OF CHINA (BRASIL) BANCO MÚLTIPLO S/A</t>
  </si>
  <si>
    <t>321 - CREFAZ SOCIEDADE DE CRÉDITO AO MICROEMPREENDEDOR E A EMPRESA DE PEQUENO PORTE S.A.</t>
  </si>
  <si>
    <t>322 - Cooperativa de Crédito Rural de Abelardo Luz - Sulcredi/Crediluz</t>
  </si>
  <si>
    <t>323 - MERCADO PAGO INSTITUIÇÃO DE PAGAMENTO LTDA.</t>
  </si>
  <si>
    <t>324 - CARTOS SOCIEDADE DE CRÉDITO DIRETO S.A.</t>
  </si>
  <si>
    <t>325 - Órama Distribuidora de Títulos e Valores Mobiliários S.A.</t>
  </si>
  <si>
    <t>326 - PARATI - CREDITO FINANCIAMENTO E INVESTIMENTO S.A.</t>
  </si>
  <si>
    <t>328 - COOPERATIVA DE ECONOMIA E CRÉDITO MÚTUO DOS FABRICANTES DE CALÇADOS DE SAPIRANGA LTDA.</t>
  </si>
  <si>
    <t>329 - QI Sociedade de Crédito Direto S.A.</t>
  </si>
  <si>
    <t>330 - BANCO BARI DE INVESTIMENTOS E FINANCIAMENTOS S.A.</t>
  </si>
  <si>
    <t>331 - OSLO CAPITAL DISTRIBUIDORA DE TÍTULOS E VALORES MOBILIÁRIOS S.A</t>
  </si>
  <si>
    <t>332 - ACESSO SOLUÇÕES DE PAGAMENTO S.A. - INSTITUIÇÃO DE PAGAMENTO</t>
  </si>
  <si>
    <t>334 - BANCO BESA S.A.</t>
  </si>
  <si>
    <t>335 - Banco Digio S.A.</t>
  </si>
  <si>
    <t>336 - Banco C6 S.A.</t>
  </si>
  <si>
    <t>340 - SUPERDIGITAL INSTITUIÇÃO DE PAGAMENTO S.A.</t>
  </si>
  <si>
    <t>341 - ITAÚ UNIBANCO S.A.</t>
  </si>
  <si>
    <t>342 - Creditas Sociedade de Crédito Direto S.A.</t>
  </si>
  <si>
    <t>343 - FFA SOCIEDADE DE CRÉDITO AO MICROEMPREENDEDOR E À EMPRESA DE PEQUENO PORTE LTDA.</t>
  </si>
  <si>
    <t>348 - Banco XP S.A.</t>
  </si>
  <si>
    <t>349 - AL5 S.A. SOCIEDADE DE CRÉDITO FINANCIAMENTO E INVESTIMENTO</t>
  </si>
  <si>
    <t>350 - COOPERATIVA DE CRÉDITO POUPANÇA E SERVIÇOS FINANCEIROS DE AGRICULTORES E AEROPORTUÁRIOS DO BRASIL - CREHNOR</t>
  </si>
  <si>
    <t>352 - SANTANDER CORRETORA DE TÍTULOS E VALORES MOBILIÁRIOS S.A.</t>
  </si>
  <si>
    <t>354 - NECTON INVESTIMENTOS  S.A. CORRETORA DE VALORES MOBILIÁRIOS E COMMODITIES</t>
  </si>
  <si>
    <t>355 - ÓTIMO SOCIEDADE DE CRÉDITO DIRETO S.A.</t>
  </si>
  <si>
    <t>358 - MIDWAY S.A. - SOCIEDADE DE CRÉDITO FINANCIAMENTO E INVESTIMENTO</t>
  </si>
  <si>
    <t>359 - ZEMA CRÉDITO FINANCIAMENTO E INVESTIMENTO S/A</t>
  </si>
  <si>
    <t>360 - TRINUS CAPITAL DISTRIBUIDORA DE TÍTULOS E VALORES MOBILIÁRIOS S.A.</t>
  </si>
  <si>
    <t>362 - CIELO S.A. - INSTITUIÇÃO DE PAGAMENTO</t>
  </si>
  <si>
    <t>363 - QI CORRETORA DE TÍTULOS E VALORES MOBILIÁRIOS S.A.</t>
  </si>
  <si>
    <t>364 - EFÍ S.A. - INSTITUIÇÃO DE PAGAMENTO</t>
  </si>
  <si>
    <t>365 - SIMPAUL CORRETORA DE CAMBIO E VALORES MOBILIARIOS  S.A.</t>
  </si>
  <si>
    <t>366 - BANCO SOCIETE GENERALE BRASIL S.A.</t>
  </si>
  <si>
    <t>367 - VITREO DISTRIBUIDORA DE TÍTULOS E VALORES MOBILIÁRIOS S.A.</t>
  </si>
  <si>
    <t>368 - Banco CSF S.A.</t>
  </si>
  <si>
    <t>370 - Banco Mizuho do Brasil S.A.</t>
  </si>
  <si>
    <t>371 - WARREN CORRETORA DE VALORES MOBILIÁRIOS E CÂMBIO LTDA.</t>
  </si>
  <si>
    <t>373 - UP.P SOCIEDADE DE EMPRÉSTIMO ENTRE PESSOAS S.A.</t>
  </si>
  <si>
    <t>374 - REALIZE SOCIEDADE DE CRÉDITO FINANCIAMENTO E INVESTIMENTO S.A.</t>
  </si>
  <si>
    <t>376 - BANCO J.P. MORGAN S.A.</t>
  </si>
  <si>
    <t>377 - BMS SOCIEDADE DE CRÉDITO DIRETO S.A.</t>
  </si>
  <si>
    <t>378 - BANCO BRASILEIRO DE CRÉDITO SOCIEDADE ANÔNIMA</t>
  </si>
  <si>
    <t>379 - COOPERFORTE COOPERATIVA DE CRÉDITO E INVESTIMENTOS LTDA</t>
  </si>
  <si>
    <t>380 - PICPAY INSTITUIçãO DE PAGAMENTO S.A.</t>
  </si>
  <si>
    <t>381 - BANCO MERCEDES-BENZ DO BRASIL S.A.</t>
  </si>
  <si>
    <t>382 - FIDÚCIA SOCIEDADE DE CRÉDITO AO MICROEMPREENDEDOR E À EMPRESA DE PEQUENO PORTE LIMITADA.</t>
  </si>
  <si>
    <t>383 - EBANX INSTITUICAO DE PAGAMENTOS LTDA.</t>
  </si>
  <si>
    <t>384 - GLOBAL FINANÇAS SOCIEDADE DE CRÉDITO AO MICROEMPREENDEDOR E À EMPRESA DE PEQUENO PORTE LTDA.</t>
  </si>
  <si>
    <t>385 - COOPERATIVA DE ECONOMIA E CREDITO MUTUO DOS TRABALHADORES PORTUARIOS DA GRANDE VITORIA - CREDESTIVA.</t>
  </si>
  <si>
    <t>386 - NU FINANCEIRA S.A. - Sociedade de Crédito Financiamento e Investimento</t>
  </si>
  <si>
    <t>387 - Banco Toyota do Brasil S.A.</t>
  </si>
  <si>
    <t>389 - Banco Mercantil do Brasil S.A.</t>
  </si>
  <si>
    <t>390 - BANCO GM S.A.</t>
  </si>
  <si>
    <t>391 - COOPERATIVA DE CREDITO RURAL DE IBIAM - SULCREDI/IBIAM</t>
  </si>
  <si>
    <t>393 - Banco Volkswagen S.A.</t>
  </si>
  <si>
    <t>394 - Banco Bradesco Financiamentos S.A.</t>
  </si>
  <si>
    <t>395 - F.D'GOLD - DISTRIBUIDORA DE TÍTULOS E VALORES MOBILIÁRIOS LTDA.</t>
  </si>
  <si>
    <t>396 - MAGALUPAY INSTITUIÇÃO DE PAGAMENTO S.A.</t>
  </si>
  <si>
    <t>397 - LISTO SOCIEDADE DE CREDITO DIRETO S.A.</t>
  </si>
  <si>
    <t>398 - IDEAL CORRETORA DE TÍTULOS E VALORES MOBILIÁRIOS S.A.</t>
  </si>
  <si>
    <t>399 - Kirton Bank S.A. - Banco Múltiplo</t>
  </si>
  <si>
    <t>400 - COOPERATIVA DE CRÉDITO POUPANÇA E SERVIÇOS FINANCEIROS</t>
  </si>
  <si>
    <t>401 - IUGU INSTITUIÇÃO DE PAGAMENTO S.A.</t>
  </si>
  <si>
    <t>402 - COBUCCIO S/A - SOCIEDADE DE CRÉDITO FINANCIAMENTO E INVESTIMENTOS</t>
  </si>
  <si>
    <t>403 - CORA SOCIEDADE DE CRÉDITO FINANCIAMENTO E INVESTIMENTO S.A.</t>
  </si>
  <si>
    <t>404 - SUMUP SOCIEDADE DE CRÉDITO DIRETO S.A.</t>
  </si>
  <si>
    <t>406 - ACCREDITO - SOCIEDADE DE CRÉDITO DIRETO S.A.</t>
  </si>
  <si>
    <t>407 - SEFER INVESTIMENTOS DISTRIBUIDORA DE TÍTULOS E VALORES MOBILIÁRIOS LTDA</t>
  </si>
  <si>
    <t>408 - BONUSPAGO SOCIEDADE DE CRÉDITO DIRETO S.A.</t>
  </si>
  <si>
    <t>410 - PLANNER SOCIEDADE DE CRÉDITO DIRETO S.A.</t>
  </si>
  <si>
    <t>411 - Via Certa Financiadora S.A. - Crédito Financiamento e Investimentos</t>
  </si>
  <si>
    <t>412 - SOCIAL BANK BANCO MÚLTIPLO S/A</t>
  </si>
  <si>
    <t>413 - BANCO BV S.A.</t>
  </si>
  <si>
    <t>414 - LEND SOCIEDADE DE CRÉDITO DIRETO S.A.</t>
  </si>
  <si>
    <t>415 - BANCO NACIONAL S.A.</t>
  </si>
  <si>
    <t>416 - LAMARA SOCIEDADE DE CRÉDITO DIRETO S.A.</t>
  </si>
  <si>
    <t>418 - ZIPDIN SOLUÇÕES DIGITAIS SOCIEDADE DE CRÉDITO DIRETO S/A</t>
  </si>
  <si>
    <t>419 - NUMBRS SOCIEDADE DE CRÉDITO DIRETO S.A.</t>
  </si>
  <si>
    <t>421 - LAR COOPERATIVA DE CRÉDITO - LAR CREDI</t>
  </si>
  <si>
    <t>422 - Banco Safra S.A.</t>
  </si>
  <si>
    <t>423 - COLUNA S/A DISTRIBUIDORA DE TITULOS E VALORES MOBILIÁRIOS</t>
  </si>
  <si>
    <t>425 - SOCINAL S.A. - CRÉDITO FINANCIAMENTO E INVESTIMENTO</t>
  </si>
  <si>
    <t>426 - NEON FINANCEIRA - SOCIEDADE DE CRÉDITO FINANCIAMENTO E INVESTIMENTO S.A</t>
  </si>
  <si>
    <t>427 - COOPERATIVA DE CRÉDITO DOS SERVIDORES DA UNIVERSIDADE FEDERAL DO ESPIRITO SANTO</t>
  </si>
  <si>
    <t>428 - CREDSYSTEM SOCIEDADE DE CRÉDITO DIRETO S.A.</t>
  </si>
  <si>
    <t>429 - Crediare S.A. - Crédito financiamento e investimento</t>
  </si>
  <si>
    <t>430 - COOPERATIVA DE CREDITO RURAL SEARA - CREDISEARA</t>
  </si>
  <si>
    <t>433 - BR-CAPITAL DISTRIBUIDORA DE TÍTULOS E VALORES MOBILIÁRIOS S.A.</t>
  </si>
  <si>
    <t>435 - DELCRED SOCIEDADE DE CRÉDITO DIRETO S.A.</t>
  </si>
  <si>
    <t>438 - TRUSTEE DISTRIBUIDORA DE TÍTULOS E VALORES MOBILIÁRIOS LTDA.</t>
  </si>
  <si>
    <t>439 - ID CORRETORA DE TÍTULOS E VALORES MOBILIÁRIOS S.A.</t>
  </si>
  <si>
    <t>440 - CREDI&amp;GENTE - COOPERATIVA DE CRÉDITO E INVESTIMENTOS</t>
  </si>
  <si>
    <t>442 - MAGNETIS - DISTRIBUIDORA DE TÍTULOS E VALORES MOBILIÁRIOS LTDA</t>
  </si>
  <si>
    <t>443 - OCTA SOCIEDADE DE CRÉDITO DIRETO S.A.</t>
  </si>
  <si>
    <t>444 - TRINUS SOCIEDADE DE CRÉDITO DIRETO S.A.</t>
  </si>
  <si>
    <t>445 - PLANTAE S.A. - CRÉDITO FINANCIAMENTO E INVESTIMENTO</t>
  </si>
  <si>
    <t>447 - MIRAE ASSET (BRASIL) CORRETORA DE CÂMBIO TÍTULOS  E VALORES MOBILIÁRIOS LTDA.</t>
  </si>
  <si>
    <t>448 - HEMERA DISTRIBUIDORA DE TÍTULOS E VALORES MOBILIÁRIOS LTDA.</t>
  </si>
  <si>
    <t>449 - DM SOCIEDADE DE CRÉDITO DIRETO S.A.</t>
  </si>
  <si>
    <t>450 - FITBANK INSTITUIÇÃO DE PAGAMENTO S.A.</t>
  </si>
  <si>
    <t>451 - J17 - SOCIEDADE DE CRÉDITO DIRETO S/A</t>
  </si>
  <si>
    <t>452 - CREDIFIT SOCIEDADE DE CRÉDITO DIRETO S.A.</t>
  </si>
  <si>
    <t>454 - MÉRITO DISTRIBUIDORA DE TÍTULOS E VALORES MOBILIÁRIOS LTDA.</t>
  </si>
  <si>
    <t>455 - VIS DISTRIBUIDORA DE TÍTULOS E VALORES MOBILIÁRIOS LTDA</t>
  </si>
  <si>
    <t>456 - Banco MUFG Brasil S.A.</t>
  </si>
  <si>
    <t>457 - UY3 SOCIEDADE DE CRÉDITO DIRETO S/A</t>
  </si>
  <si>
    <t>458 - HEDGE INVESTMENTS DISTRIBUIDORA DE TÍTULOS E VALORES MOBILIÁRIOS LTDA.</t>
  </si>
  <si>
    <t>459 - COOPERATIVA DE CRÉDITO MÚTUO DE SERVIDORES PÚBLICOS DO ESTADO DE SÃO PAULO - CREDIFISCO</t>
  </si>
  <si>
    <t>460 - UNAVANTI SOCIEDADE DE CRÉDITO DIRETO S/A</t>
  </si>
  <si>
    <t>461 - ASAAS GESTÃO FINANCEIRA INSTITUIÇÃO DE PAGAMENTO S.A.</t>
  </si>
  <si>
    <t>462 - STARK SOCIEDADE DE CRÉDITO DIRETO S.A.</t>
  </si>
  <si>
    <t>463 - AZUMI DISTRIBUIDORA DE TíTULOS E VALORES MOBILIáRIOS LTDA.</t>
  </si>
  <si>
    <t>464 - Banco Sumitomo Mitsui Brasileiro S.A.</t>
  </si>
  <si>
    <t>465 - CAPITAL CONSIG SOCIEDADE DE CRÉDITO DIRETO S.A.</t>
  </si>
  <si>
    <t>467 - MASTER S/A CORRETORA DE CÂMBIO TÍTULOS E VALORES MOBILIÁRIOS - EM LIQUIDAÇÃO EXTRAJUDICIAL</t>
  </si>
  <si>
    <t>468 - PORTOSEG S.A. - CREDITO FINANCIAMENTO E INVESTIMENTO</t>
  </si>
  <si>
    <t>469 - PICPAY INVEST DISTRIBUIDORA DE TÍTULOS E VALORES MOBILIÁRIOS LTDA</t>
  </si>
  <si>
    <t>470 - CDC SOCIEDADE DE CRÉDITO DIRETO S.A.</t>
  </si>
  <si>
    <t>471 - COOPERATIVA DE ECONOMIA E CRÉDITO MÚTUO DOS SERVIDORES PÚBLICOS DE PINHÃO - CRESERV CREDISIS</t>
  </si>
  <si>
    <t>473 - Banco Caixa Geral - Brasil S.A.</t>
  </si>
  <si>
    <t>475 - Banco Yamaha Motor do Brasil S.A.</t>
  </si>
  <si>
    <t>477 - Citibank N.A.</t>
  </si>
  <si>
    <t>478 - GAZINCRED S.A. SOCIEDADE DE CRÉDITO FINANCIAMENTO E INVESTIMENTO</t>
  </si>
  <si>
    <t>479 - Banco ItauBank S.A.</t>
  </si>
  <si>
    <t>481 - SUPERLÓGICA SOCIEDADE DE CRÉDITO DIRETO S.A.</t>
  </si>
  <si>
    <t>482 - ARTTA SOCIEDADE DE CRÉDITO DIRETO S.A</t>
  </si>
  <si>
    <t>484 - MAF DISTRIBUIDORA DE TÍTULOS E VALORES MOBILIÁRIOS S.A.</t>
  </si>
  <si>
    <t>487 - DEUTSCHE BANK S.A. - BANCO ALEMAO</t>
  </si>
  <si>
    <t>488 - JPMorgan Chase Bank National Association</t>
  </si>
  <si>
    <t>492 - ING Bank N.V.</t>
  </si>
  <si>
    <t>495 - Banco de La Provincia de Buenos Aires</t>
  </si>
  <si>
    <t>496 - BBVA BRASIL BANCO DE INVESTIMENTO S.A.</t>
  </si>
  <si>
    <t>505 - BANCO UBS (BRASIL) S.A.</t>
  </si>
  <si>
    <t>506 - RJI CORRETORA DE TITULOS E VALORES MOBILIARIOS LTDA</t>
  </si>
  <si>
    <t>507 - SOCIEDADE DE CRÉDITO FINANCIAMENTO E INVESTIMENTO EFÍ S.A.</t>
  </si>
  <si>
    <t>508 - AVENUE SECURITIES BANCO DE INVESTIMENTO S.A.</t>
  </si>
  <si>
    <t>509 - CELCOIN INSTITUICAO DE PAGAMENTO S.A.</t>
  </si>
  <si>
    <t>510 - FFCRED SOCIEDADE DE CRÉDITO DIRETO S.A..</t>
  </si>
  <si>
    <t>511 - MAGNUM SOCIEDADE DE CRÉDITO DIRETO S.A.</t>
  </si>
  <si>
    <t>512 - FINVEST DISTRIBUIDORA DE TÍTULOS E VALORES MOBILIÁRIOS LTDA.</t>
  </si>
  <si>
    <t>513 - ATF SOCIEDADE DE CRÉDITO DIRETO S.A.</t>
  </si>
  <si>
    <t>514 - EXIM CORRETORA DE CAMBIO LTDA</t>
  </si>
  <si>
    <t>516 - QISTA S.A. - CRÉDITO FINANCIAMENTO E INVESTIMENTO</t>
  </si>
  <si>
    <t>518 - MERCADO CRÉDITO SOCIEDADE DE CRÉDITO FINANCIAMENTO E INVESTIMENTO S.A.</t>
  </si>
  <si>
    <t>519 - LIONS TRUST DISTRIBUIDORA DE TÍTULOS E VALORES MOBILIÁRIOS LTDA.</t>
  </si>
  <si>
    <t>520 - SOMAPAY SOCIEDADE DE CRÉDITO DIRETO S.A.</t>
  </si>
  <si>
    <t>521 - PEAK SOCIEDADE DE EMPRÉSTIMO ENTRE PESSOAS S.A.</t>
  </si>
  <si>
    <t>522 - RED SOCIEDADE DE CRÉDITO DIRETO S.A.</t>
  </si>
  <si>
    <t>523 - HR DIGITAL - SOCIEDADE DE CRÉDITO DIRETO S/A</t>
  </si>
  <si>
    <t>524 - WNT CAPITAL DISTRIBUIDORA DE TÍTULOS E VALORES MOBILIÁRIOS S.A.</t>
  </si>
  <si>
    <t>525 - INTERCAM CORRETORA DE CÂMBIO LTDA.</t>
  </si>
  <si>
    <t>526 - MONETARIE SOCIEDADE DE CRÉDITO DIRETO S.A.</t>
  </si>
  <si>
    <t>527 - ATICCA - SOCIEDADE DE CRÉDITO DIRETO S.A.</t>
  </si>
  <si>
    <t>528 - CBSF DISTRIBUIDORA DE TÍTULOS E VALORES MOBILIÁRIOS S.A.- EM LIQUIDAÇÃO EXTRAJUDICIAL</t>
  </si>
  <si>
    <t>529 - PINBANK BRASIL INSTITUIÇÃO DE PAGAMENTO S.A.</t>
  </si>
  <si>
    <t>530 - SER FINANCE SOCIEDADE DE CRÉDITO DIRETO S.A.</t>
  </si>
  <si>
    <t>531 - BMP SOCIEDADE DE CRÉDITO DIRETO S.A</t>
  </si>
  <si>
    <t>532 - EAGLE SOCIEDADE DE CRÉDITO DIRETO S.A.</t>
  </si>
  <si>
    <t>533 - SRM BANK INSTITUIÇÃO DE PAGAMENTO S/A</t>
  </si>
  <si>
    <t>534 - EWALLY INSTITUIÇÃO DE PAGAMENTO S.A.</t>
  </si>
  <si>
    <t>535 - OPEA SOCIEDADE DE CRÉDITO DIRETO S.A.</t>
  </si>
  <si>
    <t>536 - NEON PAGAMENTOS S.A. - INSTITUIÇÃO DE PAGAMENTO</t>
  </si>
  <si>
    <t>537 - MICROCASH SOCIEDADE DE CRÉDITO AO MICROEMPREENDEDOR E À EMPRESA DE PEQUENO PORTE LTDA.</t>
  </si>
  <si>
    <t>538 - SUDACRED SOCIEDADE DE CRÉDITO DIRETO S.A.</t>
  </si>
  <si>
    <t>539 - SANTINVEST S.A. - CREDITO FINANCIAMENTO E INVESTIMENTOS</t>
  </si>
  <si>
    <t>540 - HBI SOCIEDADE DE CRÉDITO DIRETO S/A.</t>
  </si>
  <si>
    <t>541 - FUNDO GARANTIDOR DE CREDITOS - FGC</t>
  </si>
  <si>
    <t>542 - CLOUDWALK INSTITUIÇÃO DE PAGAMENTO E SERVICOS LTDA</t>
  </si>
  <si>
    <t>543 - COOPERATIVA DE ECONOMIA E CRÉDITO MÚTUO DOS ELETRICITÁRIOS E DOS TRABALHADORES DAS EMPRESAS DO SETOR DE ENERGIA - COOPCRECE</t>
  </si>
  <si>
    <t>544 - MULTICRED SOCIEDADE DE CRÉDITO DIRETO S.A.</t>
  </si>
  <si>
    <t>545 - SENSO CORRETORA DE CAMBIO E VALORES MOBILIARIOS S.A</t>
  </si>
  <si>
    <t>546 - OKTO INSTITUIÇÃO DE PAGAMENTO S.A.</t>
  </si>
  <si>
    <t>547 - BNK DIGITAL SOCIEDADE DE CRÉDITO DIRETO S.A.</t>
  </si>
  <si>
    <t>548 - RPW S/A SOCIEDADE DE CRÉDITO FINANCIAMENTO E INVESTIMENTO</t>
  </si>
  <si>
    <t>549 - INTRA INVESTIMENTOS DISTRIBUIDORA DE TÍTULOS E VALORES MOBILIÁRIOS LTDA</t>
  </si>
  <si>
    <t>550 - BEETELLER INSTITUIÇÃO DE PAGAMENTO LTDA.</t>
  </si>
  <si>
    <t>551 - VERT DISTRIBUIDORA DE TÍTULOS E VALORES MOBILIÁRIOS LTDA</t>
  </si>
  <si>
    <t>552 - UZZIPAY INSTITUIÇÃO DE PAGAMENTO S.A.</t>
  </si>
  <si>
    <t>553 - PERCAPITAL SOCIEDADE DE CRÉDITO DIRETO S.A.</t>
  </si>
  <si>
    <t>554 - STONEX BANCO DE CÂMBIO S.A.</t>
  </si>
  <si>
    <t>555 - PAN FINANCEIRA S.A. - SOCIEDADE DE CRÉDITO FINANCIAMENTO E INVESTIMENTOS</t>
  </si>
  <si>
    <t>556 - SAYGO CORRETORA DE CÂMBIO S.A.</t>
  </si>
  <si>
    <t>557 - PAGPRIME INSTITUICAO DE PAGAMENTO LTDA</t>
  </si>
  <si>
    <t>558 - QI DISTRIBUIDORA DE TÍTULOS E VALORES MOBILIÁRIOS LTDA.</t>
  </si>
  <si>
    <t>559 - KANASTRA FINANCEIRA S.A CREDITO FINANCIAMENTO E INVESTIMENTO</t>
  </si>
  <si>
    <t>560 - MAG INSTITUICAO DE PAGAMENTO LTDA</t>
  </si>
  <si>
    <t>561 - PAY4FUN INSTITUICAO DE PAGAMENTO S.A.</t>
  </si>
  <si>
    <t>562 - AZIMUT BRASIL DISTRIBUIDORA DE TÍTULOS E VALORES MOBILIÁRIOS LTDA</t>
  </si>
  <si>
    <t>563 - PROTEGE CASH INSTITUIÇÃO DE PAGAMENTO S.A.</t>
  </si>
  <si>
    <t>565 - ÁGORA CORRETORA DE TITULOS E VALORES MOBILIARIOS S.A.</t>
  </si>
  <si>
    <t>566 - FLAGSHIP INSTITUICAO DE PAGAMENTOS LTDA</t>
  </si>
  <si>
    <t>567 - MERCANTIL FINANCEIRA S.A. - SOCIEDADE DE CRÉDITO FINANCIAMENTO E INVESTIMENTO.</t>
  </si>
  <si>
    <t>568 - BRCONDOS SOCIEDADE DE CRÉDITO DIRETO S.A.</t>
  </si>
  <si>
    <t>569 - CONTA PRONTA INSTITUICAO DE PAGAMENTO LTDA</t>
  </si>
  <si>
    <t>572 - ALL IN CRED SOCIEDADE DE CREDITO DIRETO S.A.</t>
  </si>
  <si>
    <t>573 - OXY COMPANHIA HIPOTECÁRIA</t>
  </si>
  <si>
    <t>574 - A55 SOCIEDADE DE CRÉDITO DIRETO S.A.</t>
  </si>
  <si>
    <t>575 - DGBK CREDIT S.A. - SOCIEDADE DE CRÉDITO DIRETO.</t>
  </si>
  <si>
    <t>576 - MERCADO BITCOIN INSTITUICAO DE PAGAMENTO LTDA</t>
  </si>
  <si>
    <t>577 - DESENVOLVE SP - AGÊNCIA DE FOMENTO DO ESTADO DE SÃO PAULO S.A.</t>
  </si>
  <si>
    <t>578 - COOPERATIVA DE CRÉDITO DOS SERVIDORES PÚBLICOS MUNICIPAIS DA GRANDE VITÓRIA/ES</t>
  </si>
  <si>
    <t>579 - QUADRA SOCIEDADE DE CRÉDITO DIRETO S.A.</t>
  </si>
  <si>
    <t>580 - COOPERATIVA CENTRAL DE CRÉDITO POUPANÇA E INVESTIMENTO DO SUL E SUDESTE - CENTRAL SICREDI SUL/SUDESTE</t>
  </si>
  <si>
    <t>581 - COOPERATIVA CENTRAL DE CRÉDITO POUPANÇA E INVESTIMENTO DO NORDESTE - CENTRAL SICREDI NORDESTE</t>
  </si>
  <si>
    <t>582 - COOPERATIVA CENTRAL DE CRÉDITO POUPANÇA E INVESTIMENTO DE MATO GROSSO DO SUL GOIÁS DISTRITO FEDERAL E TOCANTINS - CENTRAL SICREDI BRASIL CENTRAL</t>
  </si>
  <si>
    <t>583 - COOPERATIVA CENTRAL DE CRÉDITO POUPANÇA E INVESTIMENTO DO CENTRO NORTE DO BRASIL - CENTRAL SICREDI CENTRO NORTE</t>
  </si>
  <si>
    <t>584 - COOPERATIVA CENTRAL DE CRÉDITO POUPANÇA E INVESTIMENTO DOS ESTADOS DO PARANÁ SÃO PAULO E RIO DE JANEIRO - CENTRAL SICREDI PR/SP/RJ</t>
  </si>
  <si>
    <t>585 - SETHI SOCIEDADE DE CRÉDITO DIRETO S.A.</t>
  </si>
  <si>
    <t>586 - Z1 INSTITUIÇÃO DE PAGAMENTO LTDA.</t>
  </si>
  <si>
    <t>587 - FIDD DISTRIBUIDORA DE TÍTULOS E VALORES MOBILIÁRIOS LTDA.</t>
  </si>
  <si>
    <t>588 - PROVER PROMOCAO DE VENDAS INSTITUICAO DE PAGAMENTO LTDA</t>
  </si>
  <si>
    <t>589 - G5 SOCIEDADE DE CRÉDITO DIRETO S.A.</t>
  </si>
  <si>
    <t>590 - REPASSES FINANCEIROS E SOLUCOES TECNOLOGICAS INSTITUICAO DE PAGAMENTO S.A.</t>
  </si>
  <si>
    <t>591 - BANVOX DISTRIBUIDORA DE TÍTULOS E VALORES MOBILIÁRIOS LTDA</t>
  </si>
  <si>
    <t>592 - INSTITUIÇÃO DE PAGAMENTOS MAPS LTDA.</t>
  </si>
  <si>
    <t>593 - TRANSFEERA INSTITUIÇÃO DE PAGAMENTO S.A</t>
  </si>
  <si>
    <t>594 - ASA SOCIEDADE DE CRÉDITO FINANCIAMENTO E INVESTIMENTO S.A.</t>
  </si>
  <si>
    <t>595 - IFOOD PAGO INSTITUIÇÃO DE PAGAMENTO S.A.</t>
  </si>
  <si>
    <t>597 - ISSUER INSTITUICAO DE PAGAMENTO LTDA.</t>
  </si>
  <si>
    <t>598 - KONECT SOCIEDADE DE CRÉDITO DIRETO S/A</t>
  </si>
  <si>
    <t>599 - AGORACRED S/A SOCIEDADE DE CRÉDITO FINANCIAMENTO E INVESTIMENTO</t>
  </si>
  <si>
    <t>600 - Banco Luso Brasileiro S.A.</t>
  </si>
  <si>
    <t>604 - Banco Industrial do Brasil S.A.</t>
  </si>
  <si>
    <t>610 - Banco VR S.A.</t>
  </si>
  <si>
    <t>611 - Banco Paulista S.A.</t>
  </si>
  <si>
    <t>612 - Banco Guanabara S.A.</t>
  </si>
  <si>
    <t>613 - Omni Banco S.A.</t>
  </si>
  <si>
    <t>614 - SANTS SOCIEDADE DE CRÉDITO DIRETO S.A.</t>
  </si>
  <si>
    <t>615 - SMART SOLUTIONS GROUP INSTITUICAO DE PAGAMENTO LTDA</t>
  </si>
  <si>
    <t>619 - TRIO INSTITUICAO DE PAGAMENTO LTDA.</t>
  </si>
  <si>
    <t>620 - REVOLUT SOCIEDADE DE CRÉDITO DIRETO S.A.</t>
  </si>
  <si>
    <t>623 - Banco Pan S.A.</t>
  </si>
  <si>
    <t>626 - BANCO C6 CONSIGNADO S.A.</t>
  </si>
  <si>
    <t>630 - BANCO LETSBANK S.A. - EM LIQUIDAÇÃO EXTRAJUDICIAL</t>
  </si>
  <si>
    <t>632 - Z-ON SOCIEDADE DE CRÉDITO DIRETO S.A.</t>
  </si>
  <si>
    <t>633 - Banco Rendimento S.A.</t>
  </si>
  <si>
    <t>634 - BANCO TRIANGULO S.A.</t>
  </si>
  <si>
    <t>636 - GIRO - SOCIEDADE DE CRÉDITO DIRETO S/A</t>
  </si>
  <si>
    <t>637 - BANCO SOFISA S.A.</t>
  </si>
  <si>
    <t>643 - Banco Pine S.A.</t>
  </si>
  <si>
    <t>644 - 321 SOCIEDADE DE CRÉDITO DIRETO S.A.</t>
  </si>
  <si>
    <t>646 - DM SOCIEDADE DE CRÉDITO FINANCIAMENTO E INVESTIMENTO S.A</t>
  </si>
  <si>
    <t>651 - PAGARE INSTITUICAO DE PAGAMENTO S.A.</t>
  </si>
  <si>
    <t>652 - Itaú Unibanco Holding S.A.</t>
  </si>
  <si>
    <t>653 - BANCO PLENO S.A.</t>
  </si>
  <si>
    <t>654 - BANCO DIGIMAIS S.A.</t>
  </si>
  <si>
    <t>655 - Banco Votorantim S.A.</t>
  </si>
  <si>
    <t>659 - ONEKEY PAYMENTS INSTITUICAO DE PAGAMENTO SA</t>
  </si>
  <si>
    <t>660 - PAGME INSTITUIÇÃO DE PAGAMENTO LTDA.</t>
  </si>
  <si>
    <t>661 - FREEX CORRETORA DE CAMBIO S.A.</t>
  </si>
  <si>
    <t>662 - WE PAY OUT INSTITUICAO DE PAGAMENTO LTDA.</t>
  </si>
  <si>
    <t>663 - ACTUAL DISTRIBUIDORA DE TÍTULOS E VALORES MOBILIÁRIOS S.A.</t>
  </si>
  <si>
    <t>664 - EAGLE INSTITUICAO DE PAGAMENTO LTDA.</t>
  </si>
  <si>
    <t>665 - STARK BANK S.A. - INSTITUICAO DE PAGAMENTO</t>
  </si>
  <si>
    <t>667 - LIQUIDO INSTITUICAO DE PAGAMENTO LTDA</t>
  </si>
  <si>
    <t>668 - VIA CAPITAL - SOCIEDADE DE CRÉDITO DIRETO S/A</t>
  </si>
  <si>
    <t>670 - BSN PAGAMENTOS INSTITUIÇÃO DE PAGAMENTO LTDA</t>
  </si>
  <si>
    <t>671 - ZERO INSTITUIÇÃO DE PAGAMENTO S.A.</t>
  </si>
  <si>
    <t>672 - STONE SOCIEDADE DE CREDITO FINANCIAMENTO E INVESTIMENTO S.A.</t>
  </si>
  <si>
    <t>673 - COOPERATIVA DE CRÉDITO RURAL DO AGRESTE ALAGOANO - COOPERAGRE</t>
  </si>
  <si>
    <t>674 - HINOVA PAY INSTITUICAO DE PAGAMENTO S.A.</t>
  </si>
  <si>
    <t>675 - BANQI INSTITUICAO DE PAGAMENTO LTDA.</t>
  </si>
  <si>
    <t>676 - DUFRIO FINANCEIRA CRÉDITO FINANCIAMENTO E INVESTIMENTOS S.A.</t>
  </si>
  <si>
    <t>678 - FIDEM SOCIEDADE DE CRÉDITO DIRETO S/A</t>
  </si>
  <si>
    <t>679 - PAY INSTITUICAO DE PAGAMENTO S.A.</t>
  </si>
  <si>
    <t>680 - DELTA GLOBAL SOCIEDADE DE CRÉDITO DIRETO S.A.</t>
  </si>
  <si>
    <t>681 - MT INSTITUICAO DE PAGAMENTO SA</t>
  </si>
  <si>
    <t>682 - MONERY INSTITUICAO DE PAGAMENTO S.A.</t>
  </si>
  <si>
    <t>684 - HARMOS S.A. - SOCIEDADE DE CRÉDITO FINANCIAMENTO E INVESTIMENTO</t>
  </si>
  <si>
    <t>685 - TYCOON TECHNOLOGY INSTITUICAO DE PAGAMENTO S.A</t>
  </si>
  <si>
    <t>686 - BIZ INSTITUIÇÃO DE PAGAMENTO S.A.</t>
  </si>
  <si>
    <t>687 - INCO SOCIEDADE DE EMPRÉSTIMO ENTRE PESSOAS S.A.</t>
  </si>
  <si>
    <t>688 - KIKAI SOCIEDADE DE CRÉDITO DIRETO S.A.</t>
  </si>
  <si>
    <t>689 - NVIO BRASIL SOCIEDADE DE CRÉDITO DIRETO S.A.</t>
  </si>
  <si>
    <t>690 - BK INSTITUIÇÃO DE PAGAMENTO S.A.</t>
  </si>
  <si>
    <t>692 - SQUID SOCIEDADE DE CRÉDITO DIRETO S.A.</t>
  </si>
  <si>
    <t>693 - EFEX INSTITUIÇÃO DE PAGAMENTO S.A.</t>
  </si>
  <si>
    <t>694 - WOOVI INSTITUICAO DE PAGAMENTO LTDA</t>
  </si>
  <si>
    <t>695 - BEES INSTITUICAO DE PAGAMENTO LTDA.</t>
  </si>
  <si>
    <t>696 - LOAN BRASIL SOCIEDADE DE CRÉDITO DIRETO S.A.</t>
  </si>
  <si>
    <t>697 - JM CORRETORA DE CÂMBIO LTDA.</t>
  </si>
  <si>
    <t>698 - BIT SOCIEDADE DE CRÉDITO DIRETO S.A.</t>
  </si>
  <si>
    <t>699 - BFC SOCIEDADE DE CRÉDITO DIRETO S.A.</t>
  </si>
  <si>
    <t>700 - MW INSTITUICAO DE PAGAMENTO LTDA</t>
  </si>
  <si>
    <t>701 - INTEGRAÇÃO DE CRÉDITO E COBRANÇA SOCIEDADE DE CRÉDITO DIRETO S.A.</t>
  </si>
  <si>
    <t>703 - GETNET ADQUIRÊNCIA E SERVIÇOS PARA MEIOS DE PAGAMENTO S.A. INSTITUIÇÃO DE PAGAMENTO</t>
  </si>
  <si>
    <t>704 - FEATBANK INSTITUICAO DE PAGAMENTO LTDA</t>
  </si>
  <si>
    <t>707 - Banco Daycoval S.A.</t>
  </si>
  <si>
    <t>708 - BANCO INDUSCRED DE INVESTIMENTO S.A.</t>
  </si>
  <si>
    <t>712 - OURIBANK S.A. BANCO MÚLTIPLO</t>
  </si>
  <si>
    <t>714 - FINAMAX S.A. - CREDITO FINANCIAMENTO E INVESTIMENTO</t>
  </si>
  <si>
    <t>719 - BANCO MASTER MÚLTIPLO S.A. - SOB RAET</t>
  </si>
  <si>
    <t>720 - BANCO RNX S.A.</t>
  </si>
  <si>
    <t>739 - Banco Cetelem S.A.</t>
  </si>
  <si>
    <t>741 - BANCO RIBEIRAO PRETO S.A.</t>
  </si>
  <si>
    <t>743 - Banco Semear S.A.</t>
  </si>
  <si>
    <t>745 - Banco Citibank S.A.</t>
  </si>
  <si>
    <t>746 - Banco Modal S.A.</t>
  </si>
  <si>
    <t>747 - Banco Rabobank International Brasil S.A.</t>
  </si>
  <si>
    <t>748 - BANCO COOPERATIVO SICREDI S.A.</t>
  </si>
  <si>
    <t>751 - Scotiabank Brasil S.A. Banco Múltiplo</t>
  </si>
  <si>
    <t>752 - Banco BNP Paribas Brasil S.A.</t>
  </si>
  <si>
    <t>753 - Novo Banco Continental S.A. - Banco Múltiplo</t>
  </si>
  <si>
    <t>754 - Banco Sistema S.A.</t>
  </si>
  <si>
    <t>755 - Bank of America Merrill Lynch Banco Múltiplo S.A.</t>
  </si>
  <si>
    <t>756 - BANCO COOPERATIVO SICOOB S.A. - BANCO SICOOB</t>
  </si>
  <si>
    <t>757 - BANCO KEB HANA DO BRASIL S.A.</t>
  </si>
  <si>
    <t>759 - BANSUR JM SOCIEDADE DE CRÉDITO DIRETO S/A</t>
  </si>
  <si>
    <t>760 - EMCASH SERVIÇOS FINANCEIROS SOCIEDADE DE EMPRÉSTIMO ENTRE PESSOAS S.A.</t>
  </si>
  <si>
    <t>761 - URBANO S.A. - SOCIEDADE DE CRÉDITO FINANCIAMENTO E INVESTIMENTO</t>
  </si>
  <si>
    <t>762 - OPPENS SOCIEDADE DE EMPRESTIMO ENTRE PESSOAS S.A</t>
  </si>
  <si>
    <t>763 - VUE INSTITUIÇÃO DE PAGAMENTO S.A.</t>
  </si>
  <si>
    <t>764 - INDEPENDÊNCIA COOPERATIVA DE CRÉDITO E INVESTIMENTO - INDEPENDÊNCIA COOPERATIVA DE CRÉDITO</t>
  </si>
  <si>
    <t>766 - LB PAY INSTITUIÇÃO DE PAGAMENTO LTDA</t>
  </si>
  <si>
    <t>767 - QORE DISTRIBUIDORA DE TITULOS E VALORES MOBILIÁRIOS LTDA</t>
  </si>
  <si>
    <t>768 - BECKER FINANCEIRA S.A. - CRÉDITO FINANCIAMENTO E INVESTIMENTO</t>
  </si>
  <si>
    <t>769 - 99PAY INSTITUICAO DE PAGAMENTO S.A.</t>
  </si>
  <si>
    <t>771 - WX INSTITUICAO DE PAGAMENTO LTDA</t>
  </si>
  <si>
    <t>772 - COOPERATIVA DE CRÉDITO MÚTUO DOS EMPREGADOS DO CENTRO UNIVERSITÁRIO NEWTON PAIVA LTDA. - CREDIPAIVA</t>
  </si>
  <si>
    <t>773 - KIWIFY INSTITUICAO DE PAGAMENTO LTDA</t>
  </si>
  <si>
    <t>775 - CONTAAZUL INSTITUICAO DE PAGAMENTO LTDA.</t>
  </si>
  <si>
    <t>786 - AWX BRASIL  INSTITUICAO DE PAGAMENTO LTDA</t>
  </si>
  <si>
    <t>788 - PROTOTYPE INSTITUICAO DE PAGAMENTO S.A.</t>
  </si>
  <si>
    <t>790 - MAX INSTITUIÇÃO DE PAGAMENTO LTDA</t>
  </si>
  <si>
    <t>2. INFORMES DE RENDIMENTOS BANCÁRIOS</t>
  </si>
  <si>
    <t>Banco 2</t>
  </si>
  <si>
    <t>Banco 3</t>
  </si>
  <si>
    <t>Banco 4</t>
  </si>
  <si>
    <t>Banco 5</t>
  </si>
  <si>
    <t>Banco 6</t>
  </si>
  <si>
    <t>Banco 7</t>
  </si>
  <si>
    <t>Banco 8</t>
  </si>
  <si>
    <t>Banco 9</t>
  </si>
  <si>
    <t>Banco 10</t>
  </si>
  <si>
    <t>Banco 1</t>
  </si>
  <si>
    <t>TOTAL</t>
  </si>
  <si>
    <t>São todos os valores de entrada mês a mês de receita</t>
  </si>
  <si>
    <t>2. NOTAS BANCÁRIAS OU EXTRATO DE HOLERITES</t>
  </si>
  <si>
    <t>DATA</t>
  </si>
  <si>
    <t>CATEGORIA</t>
  </si>
  <si>
    <t>VALOR</t>
  </si>
  <si>
    <t>ENTRADAS</t>
  </si>
  <si>
    <t>FREELANCE</t>
  </si>
  <si>
    <t>CNPJ</t>
  </si>
  <si>
    <t>BANCOSANTANDER_2025.PDF</t>
  </si>
  <si>
    <t>BANCODOBRASIL_2025.PDF</t>
  </si>
  <si>
    <t>NUBANK_2025.PDF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</si>
</sst>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&quot;.&quot;000&quot;.&quot;000&quot;-&quot;00"/>
    <numFmt numFmtId="165" formatCode="&quot;R$&quot;\ #,##0.00"/>
    <numFmt numFmtId="166" formatCode="00&quot;.&quot;000&quot;-&quot;000"/>
    <numFmt numFmtId="167" formatCode="&quot;(&quot;00&quot;)&quot;0000&quot;-&quot;0000"/>
    <numFmt numFmtId="168" formatCode="&quot;(&quot;00&quot;)&quot;00000&quot;-&quot;0000"/>
  </numFmts>
  <fonts count="13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5"/>
      <color rgb="FFEE37BF"/>
      <name val="Aptos Narrow"/>
      <family val="2"/>
      <scheme val="minor"/>
    </font>
    <font>
      <i/>
      <sz val="11"/>
      <color theme="8" tint="0.79998168889431442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3" tint="0.249977111117893"/>
      <name val="Aptos Narrow"/>
      <family val="2"/>
      <scheme val="minor"/>
    </font>
    <font>
      <b/>
      <sz val="15"/>
      <color theme="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E131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E37BF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rgb="FF7030A0"/>
      </top>
      <bottom style="thin">
        <color rgb="FF7030A0"/>
      </bottom>
      <diagonal/>
    </border>
    <border>
      <left/>
      <right/>
      <top/>
      <bottom style="thick">
        <color rgb="FF7030A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8" fillId="0" borderId="0" applyNumberFormat="0" applyFill="0" applyBorder="0" applyAlignment="0" applyProtection="0"/>
  </cellStyleXfs>
  <cellXfs count="31">
    <xf numFmtId="0" fontId="0" fillId="0" borderId="0" xfId="0"/>
    <xf numFmtId="0" fontId="0" fillId="2" borderId="0" xfId="0" applyFill="1"/>
    <xf numFmtId="0" fontId="3" fillId="2" borderId="3" xfId="1" applyFont="1" applyFill="1" applyBorder="1"/>
    <xf numFmtId="0" fontId="1" fillId="2" borderId="3" xfId="1" applyFill="1" applyBorder="1"/>
    <xf numFmtId="0" fontId="5" fillId="2" borderId="2" xfId="0" applyFont="1" applyFill="1" applyBorder="1" applyAlignment="1">
      <alignment horizontal="right"/>
    </xf>
    <xf numFmtId="0" fontId="6" fillId="2" borderId="0" xfId="0" applyFont="1" applyFill="1"/>
    <xf numFmtId="0" fontId="7" fillId="2" borderId="0" xfId="0" applyFont="1" applyFill="1"/>
    <xf numFmtId="0" fontId="4" fillId="2" borderId="0" xfId="0" applyFont="1" applyFill="1" applyAlignment="1">
      <alignment horizontal="left" indent="2"/>
    </xf>
    <xf numFmtId="0" fontId="0" fillId="2" borderId="0" xfId="0" quotePrefix="1" applyFill="1"/>
    <xf numFmtId="0" fontId="2" fillId="2" borderId="0" xfId="0" applyFont="1" applyFill="1"/>
    <xf numFmtId="0" fontId="10" fillId="0" borderId="0" xfId="0" applyFont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2" borderId="0" xfId="0" applyFill="1" applyAlignment="1">
      <alignment horizontal="left"/>
    </xf>
    <xf numFmtId="0" fontId="4" fillId="2" borderId="0" xfId="0" applyFont="1" applyFill="1" applyAlignment="1">
      <alignment horizontal="left" indent="2"/>
    </xf>
    <xf numFmtId="0" fontId="10" fillId="4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4" fontId="0" fillId="6" borderId="4" xfId="0" applyNumberFormat="1" applyFill="1" applyBorder="1" applyAlignment="1" applyProtection="1">
      <alignment horizontal="left" vertical="center"/>
      <protection locked="0"/>
    </xf>
    <xf numFmtId="165" fontId="0" fillId="5" borderId="4" xfId="0" applyNumberFormat="1" applyFill="1" applyBorder="1" applyAlignment="1" applyProtection="1">
      <alignment horizontal="left" vertical="center"/>
      <protection locked="0"/>
    </xf>
    <xf numFmtId="164" fontId="0" fillId="5" borderId="4" xfId="0" applyNumberFormat="1" applyFill="1" applyBorder="1" applyAlignment="1" applyProtection="1">
      <alignment horizontal="left" vertical="center"/>
      <protection locked="0"/>
    </xf>
    <xf numFmtId="0" fontId="0" fillId="5" borderId="4" xfId="0" applyFill="1" applyBorder="1" applyAlignment="1" applyProtection="1">
      <alignment horizontal="left" vertical="center"/>
      <protection locked="0"/>
    </xf>
    <xf numFmtId="14" fontId="0" fillId="5" borderId="4" xfId="0" applyNumberFormat="1" applyFill="1" applyBorder="1" applyAlignment="1" applyProtection="1">
      <alignment horizontal="left" vertical="center"/>
      <protection locked="0"/>
    </xf>
    <xf numFmtId="166" fontId="0" fillId="5" borderId="4" xfId="0" applyNumberFormat="1" applyFill="1" applyBorder="1" applyAlignment="1" applyProtection="1">
      <alignment horizontal="left" vertical="center"/>
      <protection locked="0"/>
    </xf>
    <xf numFmtId="167" fontId="0" fillId="6" borderId="4" xfId="0" applyNumberFormat="1" applyFill="1" applyBorder="1" applyAlignment="1" applyProtection="1">
      <alignment horizontal="left" vertical="center"/>
      <protection locked="0"/>
    </xf>
    <xf numFmtId="168" fontId="0" fillId="5" borderId="4" xfId="0" applyNumberFormat="1" applyFill="1" applyBorder="1" applyAlignment="1" applyProtection="1">
      <alignment horizontal="left" vertical="center"/>
      <protection locked="0"/>
    </xf>
    <xf numFmtId="49" fontId="11" fillId="6" borderId="4" xfId="2" applyNumberFormat="1" applyFont="1" applyFill="1" applyBorder="1" applyAlignment="1" applyProtection="1">
      <alignment horizontal="left" vertical="center"/>
      <protection locked="0"/>
    </xf>
    <xf numFmtId="165" fontId="12" fillId="4" borderId="0" xfId="0" applyNumberFormat="1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</cellXfs>
  <cellStyles count="3">
    <cellStyle name="Hiperlink" xfId="2" builtinId="8"/>
    <cellStyle name="Normal" xfId="0" builtinId="0"/>
    <cellStyle name="Título 1" xfId="1" builtinId="16"/>
  </cellStyles>
  <dxfs count="5">
    <dxf>
      <numFmt numFmtId="165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E37BF"/>
      <color rgb="FF0E1317"/>
      <color rgb="FF6124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INFORMES!C1"/><Relationship Id="rId7" Type="http://schemas.openxmlformats.org/officeDocument/2006/relationships/hyperlink" Target="https://www.instagram.com/PROF.MARCELLAPITALUGA" TargetMode="External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marcella-pitaluga-8264b59b/" TargetMode="External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INFORMES!C1"/><Relationship Id="rId7" Type="http://schemas.openxmlformats.org/officeDocument/2006/relationships/hyperlink" Target="https://www.instagram.com/PROF.MARCELLAPITALUGA" TargetMode="External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marcella-pitaluga-8264b59b/" TargetMode="External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INFORMES!C1"/><Relationship Id="rId7" Type="http://schemas.openxmlformats.org/officeDocument/2006/relationships/hyperlink" Target="https://www.instagram.com/PROF.MARCELLAPITALUGA" TargetMode="External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marcella-pitaluga-8264b59b/" TargetMode="External"/><Relationship Id="rId4" Type="http://schemas.openxmlformats.org/officeDocument/2006/relationships/hyperlink" Target="#NOTA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533401</xdr:colOff>
      <xdr:row>5</xdr:row>
      <xdr:rowOff>114300</xdr:rowOff>
    </xdr:from>
    <xdr:to>
      <xdr:col>0</xdr:col>
      <xdr:colOff>1523999</xdr:colOff>
      <xdr:row>10</xdr:row>
      <xdr:rowOff>152398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6863F127-9036-402E-8586-A8524DFBAA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1" y="1143000"/>
          <a:ext cx="990598" cy="990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85728</xdr:colOff>
      <xdr:row>1</xdr:row>
      <xdr:rowOff>28575</xdr:rowOff>
    </xdr:from>
    <xdr:to>
      <xdr:col>0</xdr:col>
      <xdr:colOff>2000252</xdr:colOff>
      <xdr:row>4</xdr:row>
      <xdr:rowOff>114300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D1FA52C4-1202-45A0-9437-6C021F13EB05}"/>
            </a:ext>
          </a:extLst>
        </xdr:cNvPr>
        <xdr:cNvSpPr txBox="1"/>
      </xdr:nvSpPr>
      <xdr:spPr>
        <a:xfrm>
          <a:off x="85728" y="219075"/>
          <a:ext cx="1914524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b="1">
              <a:gradFill flip="none" rotWithShape="1">
                <a:gsLst>
                  <a:gs pos="787">
                    <a:schemeClr val="bg1"/>
                  </a:gs>
                  <a:gs pos="53000">
                    <a:srgbClr val="EE37BF"/>
                  </a:gs>
                  <a:gs pos="100000">
                    <a:srgbClr val="6124E8"/>
                  </a:gs>
                </a:gsLst>
                <a:lin ang="2700000" scaled="1"/>
                <a:tileRect/>
              </a:gradFill>
            </a:rPr>
            <a:t>INFORME</a:t>
          </a:r>
          <a:r>
            <a:rPr lang="pt-BR" sz="2000" b="1" baseline="0">
              <a:gradFill flip="none" rotWithShape="1">
                <a:gsLst>
                  <a:gs pos="787">
                    <a:schemeClr val="bg1"/>
                  </a:gs>
                  <a:gs pos="53000">
                    <a:srgbClr val="EE37BF"/>
                  </a:gs>
                  <a:gs pos="100000">
                    <a:srgbClr val="6124E8"/>
                  </a:gs>
                </a:gsLst>
                <a:lin ang="2700000" scaled="1"/>
                <a:tileRect/>
              </a:gradFill>
            </a:rPr>
            <a:t> DE RENDIMENTOS</a:t>
          </a:r>
        </a:p>
      </xdr:txBody>
    </xdr:sp>
    <xdr:clientData/>
  </xdr:twoCellAnchor>
  <xdr:twoCellAnchor editAs="absolute">
    <xdr:from>
      <xdr:col>0</xdr:col>
      <xdr:colOff>109540</xdr:colOff>
      <xdr:row>11</xdr:row>
      <xdr:rowOff>180975</xdr:rowOff>
    </xdr:from>
    <xdr:to>
      <xdr:col>0</xdr:col>
      <xdr:colOff>2005015</xdr:colOff>
      <xdr:row>13</xdr:row>
      <xdr:rowOff>152400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7C04F6-1E55-4ABD-94C3-5F269C7A9841}"/>
            </a:ext>
          </a:extLst>
        </xdr:cNvPr>
        <xdr:cNvSpPr/>
      </xdr:nvSpPr>
      <xdr:spPr>
        <a:xfrm>
          <a:off x="109540" y="2352675"/>
          <a:ext cx="1895475" cy="352425"/>
        </a:xfrm>
        <a:prstGeom prst="roundRect">
          <a:avLst>
            <a:gd name="adj" fmla="val 50000"/>
          </a:avLst>
        </a:prstGeom>
        <a:gradFill>
          <a:gsLst>
            <a:gs pos="39000">
              <a:srgbClr val="EE37BF"/>
            </a:gs>
            <a:gs pos="82000">
              <a:srgbClr val="6124E8">
                <a:alpha val="78000"/>
                <a:lumMod val="100000"/>
              </a:srgbClr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0">
              <a:solidFill>
                <a:schemeClr val="lt1"/>
              </a:solidFill>
              <a:latin typeface="Aptos Narrow (Corpo)"/>
              <a:ea typeface="+mn-ea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109540</xdr:colOff>
      <xdr:row>14</xdr:row>
      <xdr:rowOff>66675</xdr:rowOff>
    </xdr:from>
    <xdr:to>
      <xdr:col>0</xdr:col>
      <xdr:colOff>2005015</xdr:colOff>
      <xdr:row>16</xdr:row>
      <xdr:rowOff>38100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AE7A1FD-FAF6-4A76-B0AC-DDFBDCAD9E6A}"/>
            </a:ext>
          </a:extLst>
        </xdr:cNvPr>
        <xdr:cNvSpPr/>
      </xdr:nvSpPr>
      <xdr:spPr>
        <a:xfrm>
          <a:off x="109540" y="2809875"/>
          <a:ext cx="1895475" cy="3524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ptos Narrow (Corpo)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109540</xdr:colOff>
      <xdr:row>16</xdr:row>
      <xdr:rowOff>142875</xdr:rowOff>
    </xdr:from>
    <xdr:to>
      <xdr:col>0</xdr:col>
      <xdr:colOff>2005015</xdr:colOff>
      <xdr:row>18</xdr:row>
      <xdr:rowOff>114300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9348BD7-C13A-4047-93DC-62AD592655D7}"/>
            </a:ext>
          </a:extLst>
        </xdr:cNvPr>
        <xdr:cNvSpPr/>
      </xdr:nvSpPr>
      <xdr:spPr>
        <a:xfrm>
          <a:off x="109540" y="3267075"/>
          <a:ext cx="1895475" cy="3524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0">
              <a:solidFill>
                <a:schemeClr val="lt1"/>
              </a:solidFill>
              <a:latin typeface="Aptos Narrow (Corpo)"/>
              <a:ea typeface="+mn-ea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95252</xdr:colOff>
      <xdr:row>20</xdr:row>
      <xdr:rowOff>104775</xdr:rowOff>
    </xdr:from>
    <xdr:to>
      <xdr:col>0</xdr:col>
      <xdr:colOff>2000252</xdr:colOff>
      <xdr:row>22</xdr:row>
      <xdr:rowOff>9525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4F5F84DE-AD68-435F-9420-A3733BCD071F}"/>
            </a:ext>
          </a:extLst>
        </xdr:cNvPr>
        <xdr:cNvSpPr/>
      </xdr:nvSpPr>
      <xdr:spPr>
        <a:xfrm>
          <a:off x="95252" y="3990975"/>
          <a:ext cx="19050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aseline="0">
              <a:solidFill>
                <a:schemeClr val="bg1">
                  <a:lumMod val="75000"/>
                </a:schemeClr>
              </a:solidFill>
            </a:rPr>
            <a:t>BY MARCELLA PITALUGA </a:t>
          </a:r>
          <a:r>
            <a:rPr lang="pt-BR" sz="1000" baseline="0"/>
            <a:t>💜</a:t>
          </a:r>
          <a:endParaRPr lang="pt-BR" sz="1000"/>
        </a:p>
      </xdr:txBody>
    </xdr:sp>
    <xdr:clientData/>
  </xdr:twoCellAnchor>
  <xdr:twoCellAnchor editAs="absolute">
    <xdr:from>
      <xdr:col>0</xdr:col>
      <xdr:colOff>276227</xdr:colOff>
      <xdr:row>20</xdr:row>
      <xdr:rowOff>133350</xdr:rowOff>
    </xdr:from>
    <xdr:to>
      <xdr:col>0</xdr:col>
      <xdr:colOff>1819277</xdr:colOff>
      <xdr:row>20</xdr:row>
      <xdr:rowOff>133350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86EB823C-3A03-4C92-A097-87603FDA372F}"/>
            </a:ext>
          </a:extLst>
        </xdr:cNvPr>
        <xdr:cNvCxnSpPr/>
      </xdr:nvCxnSpPr>
      <xdr:spPr>
        <a:xfrm>
          <a:off x="276227" y="4019550"/>
          <a:ext cx="1543050" cy="0"/>
        </a:xfrm>
        <a:prstGeom prst="line">
          <a:avLst/>
        </a:prstGeom>
        <a:ln>
          <a:solidFill>
            <a:srgbClr val="EE37B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0</xdr:colOff>
      <xdr:row>32</xdr:row>
      <xdr:rowOff>0</xdr:rowOff>
    </xdr:from>
    <xdr:to>
      <xdr:col>10</xdr:col>
      <xdr:colOff>304800</xdr:colOff>
      <xdr:row>33</xdr:row>
      <xdr:rowOff>114300</xdr:rowOff>
    </xdr:to>
    <xdr:sp macro="" textlink="">
      <xdr:nvSpPr>
        <xdr:cNvPr id="9" name="AutoShape 6" descr="Linkedin Icons PNG, Vector, PSD, and Clipart With Transparent Background  for Free Download | Pngtree">
          <a:extLst>
            <a:ext uri="{FF2B5EF4-FFF2-40B4-BE49-F238E27FC236}">
              <a16:creationId xmlns:a16="http://schemas.microsoft.com/office/drawing/2014/main" id="{DE79EE81-3935-4E9B-8124-2C27B3D0114C}"/>
            </a:ext>
          </a:extLst>
        </xdr:cNvPr>
        <xdr:cNvSpPr>
          <a:spLocks noChangeAspect="1" noChangeArrowheads="1"/>
        </xdr:cNvSpPr>
      </xdr:nvSpPr>
      <xdr:spPr bwMode="auto">
        <a:xfrm>
          <a:off x="7591425" y="609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21</xdr:row>
      <xdr:rowOff>0</xdr:rowOff>
    </xdr:from>
    <xdr:to>
      <xdr:col>6</xdr:col>
      <xdr:colOff>304800</xdr:colOff>
      <xdr:row>22</xdr:row>
      <xdr:rowOff>114300</xdr:rowOff>
    </xdr:to>
    <xdr:sp macro="" textlink="">
      <xdr:nvSpPr>
        <xdr:cNvPr id="10" name="AutoShape 8" descr="Linkedin Icons PNG, Vector, PSD, and Clipart With Transparent Background  for Free Download | Pngtree">
          <a:extLst>
            <a:ext uri="{FF2B5EF4-FFF2-40B4-BE49-F238E27FC236}">
              <a16:creationId xmlns:a16="http://schemas.microsoft.com/office/drawing/2014/main" id="{3AB41B83-810F-48E2-BA1F-6F5F88240C2F}"/>
            </a:ext>
          </a:extLst>
        </xdr:cNvPr>
        <xdr:cNvSpPr>
          <a:spLocks noChangeAspect="1" noChangeArrowheads="1"/>
        </xdr:cNvSpPr>
      </xdr:nvSpPr>
      <xdr:spPr bwMode="auto">
        <a:xfrm>
          <a:off x="5153025" y="40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533401</xdr:colOff>
      <xdr:row>21</xdr:row>
      <xdr:rowOff>125016</xdr:rowOff>
    </xdr:from>
    <xdr:to>
      <xdr:col>0</xdr:col>
      <xdr:colOff>990601</xdr:colOff>
      <xdr:row>24</xdr:row>
      <xdr:rowOff>10716</xdr:rowOff>
    </xdr:to>
    <xdr:pic>
      <xdr:nvPicPr>
        <xdr:cNvPr id="11" name="Imagem 10" descr="Ícones brancos de Linkedin – Baixe gratuitamente em SVG, PNG, GIF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FC63787-6D9A-4957-8E31-3DE0760EC2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1" y="4202907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1019176</xdr:colOff>
      <xdr:row>21</xdr:row>
      <xdr:rowOff>144067</xdr:rowOff>
    </xdr:from>
    <xdr:to>
      <xdr:col>0</xdr:col>
      <xdr:colOff>1438275</xdr:colOff>
      <xdr:row>23</xdr:row>
      <xdr:rowOff>182166</xdr:rowOff>
    </xdr:to>
    <xdr:pic>
      <xdr:nvPicPr>
        <xdr:cNvPr id="12" name="Imagem 11" descr="Ícones brancos de Instagram – Baixe gratuitamente em SVG, PNG, GIF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07A19E0-B0D3-4F1F-978A-E64DA2BB4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176" y="4221958"/>
          <a:ext cx="419099" cy="4190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19050</xdr:colOff>
      <xdr:row>20</xdr:row>
      <xdr:rowOff>180975</xdr:rowOff>
    </xdr:from>
    <xdr:to>
      <xdr:col>4</xdr:col>
      <xdr:colOff>0</xdr:colOff>
      <xdr:row>22</xdr:row>
      <xdr:rowOff>63500</xdr:rowOff>
    </xdr:to>
    <xdr:sp macro="" textlink="">
      <xdr:nvSpPr>
        <xdr:cNvPr id="13" name="Retângulo: Cantos Arredondados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7F040B9-D893-EA98-18B1-01F95A3C6DD7}"/>
            </a:ext>
          </a:extLst>
        </xdr:cNvPr>
        <xdr:cNvSpPr/>
      </xdr:nvSpPr>
      <xdr:spPr>
        <a:xfrm>
          <a:off x="5405967" y="4065058"/>
          <a:ext cx="3515783" cy="263525"/>
        </a:xfrm>
        <a:prstGeom prst="roundRect">
          <a:avLst>
            <a:gd name="adj" fmla="val 0"/>
          </a:avLst>
        </a:prstGeom>
        <a:solidFill>
          <a:srgbClr val="EE37B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>
              <a:solidFill>
                <a:schemeClr val="bg1"/>
              </a:solidFill>
            </a:rPr>
            <a:t>PRÓXIMO -&gt;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533401</xdr:colOff>
      <xdr:row>4</xdr:row>
      <xdr:rowOff>304800</xdr:rowOff>
    </xdr:from>
    <xdr:to>
      <xdr:col>0</xdr:col>
      <xdr:colOff>1523999</xdr:colOff>
      <xdr:row>7</xdr:row>
      <xdr:rowOff>152398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7487C3B8-01F1-4CAD-85A0-F1F6AFBF6E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1" y="1143000"/>
          <a:ext cx="990598" cy="990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85728</xdr:colOff>
      <xdr:row>1</xdr:row>
      <xdr:rowOff>28575</xdr:rowOff>
    </xdr:from>
    <xdr:to>
      <xdr:col>0</xdr:col>
      <xdr:colOff>2000252</xdr:colOff>
      <xdr:row>4</xdr:row>
      <xdr:rowOff>114300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20DFF6B3-0226-422F-B82F-4A3D56DB5E29}"/>
            </a:ext>
          </a:extLst>
        </xdr:cNvPr>
        <xdr:cNvSpPr txBox="1"/>
      </xdr:nvSpPr>
      <xdr:spPr>
        <a:xfrm>
          <a:off x="85728" y="219075"/>
          <a:ext cx="1914524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b="1">
              <a:gradFill flip="none" rotWithShape="1">
                <a:gsLst>
                  <a:gs pos="787">
                    <a:schemeClr val="bg1"/>
                  </a:gs>
                  <a:gs pos="53000">
                    <a:srgbClr val="EE37BF"/>
                  </a:gs>
                  <a:gs pos="100000">
                    <a:srgbClr val="6124E8"/>
                  </a:gs>
                </a:gsLst>
                <a:lin ang="2700000" scaled="1"/>
                <a:tileRect/>
              </a:gradFill>
            </a:rPr>
            <a:t>INFORME</a:t>
          </a:r>
          <a:r>
            <a:rPr lang="pt-BR" sz="2000" b="1" baseline="0">
              <a:gradFill flip="none" rotWithShape="1">
                <a:gsLst>
                  <a:gs pos="787">
                    <a:schemeClr val="bg1"/>
                  </a:gs>
                  <a:gs pos="53000">
                    <a:srgbClr val="EE37BF"/>
                  </a:gs>
                  <a:gs pos="100000">
                    <a:srgbClr val="6124E8"/>
                  </a:gs>
                </a:gsLst>
                <a:lin ang="2700000" scaled="1"/>
                <a:tileRect/>
              </a:gradFill>
            </a:rPr>
            <a:t> DE RENDIMENTOS</a:t>
          </a:r>
        </a:p>
      </xdr:txBody>
    </xdr:sp>
    <xdr:clientData/>
  </xdr:twoCellAnchor>
  <xdr:twoCellAnchor editAs="absolute">
    <xdr:from>
      <xdr:col>0</xdr:col>
      <xdr:colOff>109540</xdr:colOff>
      <xdr:row>8</xdr:row>
      <xdr:rowOff>180975</xdr:rowOff>
    </xdr:from>
    <xdr:to>
      <xdr:col>0</xdr:col>
      <xdr:colOff>2005015</xdr:colOff>
      <xdr:row>10</xdr:row>
      <xdr:rowOff>152400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25A77AC-1842-4ABF-A79D-48F769BEB700}"/>
            </a:ext>
          </a:extLst>
        </xdr:cNvPr>
        <xdr:cNvSpPr/>
      </xdr:nvSpPr>
      <xdr:spPr>
        <a:xfrm>
          <a:off x="109540" y="2352675"/>
          <a:ext cx="1895475" cy="3524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ptos Narrow (Corpo)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109540</xdr:colOff>
      <xdr:row>11</xdr:row>
      <xdr:rowOff>66675</xdr:rowOff>
    </xdr:from>
    <xdr:to>
      <xdr:col>0</xdr:col>
      <xdr:colOff>2005015</xdr:colOff>
      <xdr:row>13</xdr:row>
      <xdr:rowOff>38100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8BEB064-1B2D-45B0-A044-C410539DB13F}"/>
            </a:ext>
          </a:extLst>
        </xdr:cNvPr>
        <xdr:cNvSpPr/>
      </xdr:nvSpPr>
      <xdr:spPr>
        <a:xfrm>
          <a:off x="109540" y="2809875"/>
          <a:ext cx="1895475" cy="352425"/>
        </a:xfrm>
        <a:prstGeom prst="roundRect">
          <a:avLst>
            <a:gd name="adj" fmla="val 50000"/>
          </a:avLst>
        </a:prstGeom>
        <a:gradFill>
          <a:gsLst>
            <a:gs pos="39000">
              <a:srgbClr val="EE37BF"/>
            </a:gs>
            <a:gs pos="82000">
              <a:srgbClr val="6124E8">
                <a:alpha val="78000"/>
                <a:lumMod val="100000"/>
              </a:srgbClr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ptos Narrow (Corpo)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109540</xdr:colOff>
      <xdr:row>13</xdr:row>
      <xdr:rowOff>142875</xdr:rowOff>
    </xdr:from>
    <xdr:to>
      <xdr:col>0</xdr:col>
      <xdr:colOff>2005015</xdr:colOff>
      <xdr:row>15</xdr:row>
      <xdr:rowOff>114300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D201773-790E-42E6-9F26-9BCB6206DC16}"/>
            </a:ext>
          </a:extLst>
        </xdr:cNvPr>
        <xdr:cNvSpPr/>
      </xdr:nvSpPr>
      <xdr:spPr>
        <a:xfrm>
          <a:off x="109540" y="3267075"/>
          <a:ext cx="1895475" cy="3524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ptos Narrow (Corpo)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95252</xdr:colOff>
      <xdr:row>17</xdr:row>
      <xdr:rowOff>104775</xdr:rowOff>
    </xdr:from>
    <xdr:to>
      <xdr:col>0</xdr:col>
      <xdr:colOff>2000252</xdr:colOff>
      <xdr:row>19</xdr:row>
      <xdr:rowOff>9525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AA9D2EC6-E946-462D-B8CF-F99D387A95A5}"/>
            </a:ext>
          </a:extLst>
        </xdr:cNvPr>
        <xdr:cNvSpPr/>
      </xdr:nvSpPr>
      <xdr:spPr>
        <a:xfrm>
          <a:off x="95252" y="3990975"/>
          <a:ext cx="19050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aseline="0">
              <a:solidFill>
                <a:schemeClr val="bg1">
                  <a:lumMod val="75000"/>
                </a:schemeClr>
              </a:solidFill>
            </a:rPr>
            <a:t>BY MARCELLA PITALUGA </a:t>
          </a:r>
          <a:r>
            <a:rPr lang="pt-BR" sz="1000" baseline="0"/>
            <a:t>💜</a:t>
          </a:r>
          <a:endParaRPr lang="pt-BR" sz="1000"/>
        </a:p>
      </xdr:txBody>
    </xdr:sp>
    <xdr:clientData/>
  </xdr:twoCellAnchor>
  <xdr:twoCellAnchor editAs="absolute">
    <xdr:from>
      <xdr:col>0</xdr:col>
      <xdr:colOff>276227</xdr:colOff>
      <xdr:row>17</xdr:row>
      <xdr:rowOff>133350</xdr:rowOff>
    </xdr:from>
    <xdr:to>
      <xdr:col>0</xdr:col>
      <xdr:colOff>1819277</xdr:colOff>
      <xdr:row>17</xdr:row>
      <xdr:rowOff>133350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5A7528FE-D817-4DB2-BD45-02C801844A01}"/>
            </a:ext>
          </a:extLst>
        </xdr:cNvPr>
        <xdr:cNvCxnSpPr/>
      </xdr:nvCxnSpPr>
      <xdr:spPr>
        <a:xfrm>
          <a:off x="276227" y="4019550"/>
          <a:ext cx="1543050" cy="0"/>
        </a:xfrm>
        <a:prstGeom prst="line">
          <a:avLst/>
        </a:prstGeom>
        <a:ln>
          <a:solidFill>
            <a:srgbClr val="EE37B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0</xdr:colOff>
      <xdr:row>31</xdr:row>
      <xdr:rowOff>0</xdr:rowOff>
    </xdr:from>
    <xdr:to>
      <xdr:col>10</xdr:col>
      <xdr:colOff>304800</xdr:colOff>
      <xdr:row>32</xdr:row>
      <xdr:rowOff>114300</xdr:rowOff>
    </xdr:to>
    <xdr:sp macro="" textlink="">
      <xdr:nvSpPr>
        <xdr:cNvPr id="9" name="AutoShape 6" descr="Linkedin Icons PNG, Vector, PSD, and Clipart With Transparent Background  for Free Download | Pngtree">
          <a:extLst>
            <a:ext uri="{FF2B5EF4-FFF2-40B4-BE49-F238E27FC236}">
              <a16:creationId xmlns:a16="http://schemas.microsoft.com/office/drawing/2014/main" id="{967DB3BD-1115-41F4-AD30-D253E3DB4074}"/>
            </a:ext>
          </a:extLst>
        </xdr:cNvPr>
        <xdr:cNvSpPr>
          <a:spLocks noChangeAspect="1" noChangeArrowheads="1"/>
        </xdr:cNvSpPr>
      </xdr:nvSpPr>
      <xdr:spPr bwMode="auto">
        <a:xfrm>
          <a:off x="7591425" y="609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20</xdr:row>
      <xdr:rowOff>0</xdr:rowOff>
    </xdr:from>
    <xdr:to>
      <xdr:col>6</xdr:col>
      <xdr:colOff>304800</xdr:colOff>
      <xdr:row>21</xdr:row>
      <xdr:rowOff>114300</xdr:rowOff>
    </xdr:to>
    <xdr:sp macro="" textlink="">
      <xdr:nvSpPr>
        <xdr:cNvPr id="10" name="AutoShape 8" descr="Linkedin Icons PNG, Vector, PSD, and Clipart With Transparent Background  for Free Download | Pngtree">
          <a:extLst>
            <a:ext uri="{FF2B5EF4-FFF2-40B4-BE49-F238E27FC236}">
              <a16:creationId xmlns:a16="http://schemas.microsoft.com/office/drawing/2014/main" id="{8E28D606-031E-4D7A-BB93-E228123E65C7}"/>
            </a:ext>
          </a:extLst>
        </xdr:cNvPr>
        <xdr:cNvSpPr>
          <a:spLocks noChangeAspect="1" noChangeArrowheads="1"/>
        </xdr:cNvSpPr>
      </xdr:nvSpPr>
      <xdr:spPr bwMode="auto">
        <a:xfrm>
          <a:off x="5153025" y="40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533401</xdr:colOff>
      <xdr:row>18</xdr:row>
      <xdr:rowOff>123825</xdr:rowOff>
    </xdr:from>
    <xdr:to>
      <xdr:col>0</xdr:col>
      <xdr:colOff>990601</xdr:colOff>
      <xdr:row>21</xdr:row>
      <xdr:rowOff>9525</xdr:rowOff>
    </xdr:to>
    <xdr:pic>
      <xdr:nvPicPr>
        <xdr:cNvPr id="11" name="Imagem 10" descr="Ícones brancos de Linkedin – Baixe gratuitamente em SVG, PNG, GIF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9D18E59-5DD7-4CEC-B244-5C102E3F81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1" y="4200525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1019176</xdr:colOff>
      <xdr:row>18</xdr:row>
      <xdr:rowOff>142876</xdr:rowOff>
    </xdr:from>
    <xdr:to>
      <xdr:col>0</xdr:col>
      <xdr:colOff>1438275</xdr:colOff>
      <xdr:row>20</xdr:row>
      <xdr:rowOff>180975</xdr:rowOff>
    </xdr:to>
    <xdr:pic>
      <xdr:nvPicPr>
        <xdr:cNvPr id="12" name="Imagem 11" descr="Ícones brancos de Instagram – Baixe gratuitamente em SVG, PNG, GIF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D731E59-4135-4733-97E4-BBA85E4BF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176" y="4219576"/>
          <a:ext cx="419099" cy="4190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4015</xdr:colOff>
      <xdr:row>4</xdr:row>
      <xdr:rowOff>160125</xdr:rowOff>
    </xdr:from>
    <xdr:to>
      <xdr:col>3</xdr:col>
      <xdr:colOff>964178</xdr:colOff>
      <xdr:row>4</xdr:row>
      <xdr:rowOff>432895</xdr:rowOff>
    </xdr:to>
    <xdr:sp macro="" textlink="">
      <xdr:nvSpPr>
        <xdr:cNvPr id="14" name="Retângulo: Cantos Arredondados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4A35996-9D77-410F-9769-A489DB00652D}"/>
            </a:ext>
          </a:extLst>
        </xdr:cNvPr>
        <xdr:cNvSpPr/>
      </xdr:nvSpPr>
      <xdr:spPr>
        <a:xfrm>
          <a:off x="2718640" y="998325"/>
          <a:ext cx="3627163" cy="272770"/>
        </a:xfrm>
        <a:prstGeom prst="roundRect">
          <a:avLst>
            <a:gd name="adj" fmla="val 0"/>
          </a:avLst>
        </a:prstGeom>
        <a:solidFill>
          <a:srgbClr val="EE37B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>
              <a:solidFill>
                <a:schemeClr val="bg1"/>
              </a:solidFill>
            </a:rPr>
            <a:t>&lt;-</a:t>
          </a:r>
          <a:r>
            <a:rPr lang="pt-BR" sz="1500" b="1" baseline="0">
              <a:solidFill>
                <a:schemeClr val="bg1"/>
              </a:solidFill>
            </a:rPr>
            <a:t> </a:t>
          </a:r>
          <a:r>
            <a:rPr lang="pt-BR" sz="1500" b="1">
              <a:solidFill>
                <a:schemeClr val="bg1"/>
              </a:solidFill>
            </a:rPr>
            <a:t>ANTERIOR</a:t>
          </a:r>
        </a:p>
      </xdr:txBody>
    </xdr:sp>
    <xdr:clientData/>
  </xdr:twoCellAnchor>
  <xdr:twoCellAnchor>
    <xdr:from>
      <xdr:col>3</xdr:col>
      <xdr:colOff>1143000</xdr:colOff>
      <xdr:row>4</xdr:row>
      <xdr:rowOff>161924</xdr:rowOff>
    </xdr:from>
    <xdr:to>
      <xdr:col>3</xdr:col>
      <xdr:colOff>4773083</xdr:colOff>
      <xdr:row>4</xdr:row>
      <xdr:rowOff>429609</xdr:rowOff>
    </xdr:to>
    <xdr:sp macro="" textlink="">
      <xdr:nvSpPr>
        <xdr:cNvPr id="15" name="Retângulo: Cantos Arredondados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7F7EA05-0857-E9D3-17EA-394E850173C2}"/>
            </a:ext>
          </a:extLst>
        </xdr:cNvPr>
        <xdr:cNvSpPr/>
      </xdr:nvSpPr>
      <xdr:spPr>
        <a:xfrm>
          <a:off x="6524625" y="1000124"/>
          <a:ext cx="3630083" cy="267685"/>
        </a:xfrm>
        <a:prstGeom prst="roundRect">
          <a:avLst>
            <a:gd name="adj" fmla="val 0"/>
          </a:avLst>
        </a:prstGeom>
        <a:solidFill>
          <a:srgbClr val="EE37B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>
              <a:solidFill>
                <a:schemeClr val="bg1"/>
              </a:solidFill>
            </a:rPr>
            <a:t>PRÓXIMO -&gt;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533401</xdr:colOff>
      <xdr:row>5</xdr:row>
      <xdr:rowOff>114300</xdr:rowOff>
    </xdr:from>
    <xdr:to>
      <xdr:col>0</xdr:col>
      <xdr:colOff>1523999</xdr:colOff>
      <xdr:row>10</xdr:row>
      <xdr:rowOff>14814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F98E32E9-5A79-42AD-AECB-60FA462500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1" y="1143000"/>
          <a:ext cx="990598" cy="990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85728</xdr:colOff>
      <xdr:row>1</xdr:row>
      <xdr:rowOff>28575</xdr:rowOff>
    </xdr:from>
    <xdr:to>
      <xdr:col>0</xdr:col>
      <xdr:colOff>2000252</xdr:colOff>
      <xdr:row>4</xdr:row>
      <xdr:rowOff>114300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9E05717A-0CD3-4DF9-98B4-E612DB80A84F}"/>
            </a:ext>
          </a:extLst>
        </xdr:cNvPr>
        <xdr:cNvSpPr txBox="1"/>
      </xdr:nvSpPr>
      <xdr:spPr>
        <a:xfrm>
          <a:off x="85728" y="219075"/>
          <a:ext cx="1914524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b="1">
              <a:gradFill flip="none" rotWithShape="1">
                <a:gsLst>
                  <a:gs pos="787">
                    <a:schemeClr val="bg1"/>
                  </a:gs>
                  <a:gs pos="53000">
                    <a:srgbClr val="EE37BF"/>
                  </a:gs>
                  <a:gs pos="100000">
                    <a:srgbClr val="6124E8"/>
                  </a:gs>
                </a:gsLst>
                <a:lin ang="2700000" scaled="1"/>
                <a:tileRect/>
              </a:gradFill>
            </a:rPr>
            <a:t>INFORME</a:t>
          </a:r>
          <a:r>
            <a:rPr lang="pt-BR" sz="2000" b="1" baseline="0">
              <a:gradFill flip="none" rotWithShape="1">
                <a:gsLst>
                  <a:gs pos="787">
                    <a:schemeClr val="bg1"/>
                  </a:gs>
                  <a:gs pos="53000">
                    <a:srgbClr val="EE37BF"/>
                  </a:gs>
                  <a:gs pos="100000">
                    <a:srgbClr val="6124E8"/>
                  </a:gs>
                </a:gsLst>
                <a:lin ang="2700000" scaled="1"/>
                <a:tileRect/>
              </a:gradFill>
            </a:rPr>
            <a:t> DE RENDIMENTOS</a:t>
          </a:r>
        </a:p>
      </xdr:txBody>
    </xdr:sp>
    <xdr:clientData/>
  </xdr:twoCellAnchor>
  <xdr:twoCellAnchor editAs="absolute">
    <xdr:from>
      <xdr:col>0</xdr:col>
      <xdr:colOff>109540</xdr:colOff>
      <xdr:row>11</xdr:row>
      <xdr:rowOff>43391</xdr:rowOff>
    </xdr:from>
    <xdr:to>
      <xdr:col>0</xdr:col>
      <xdr:colOff>2005015</xdr:colOff>
      <xdr:row>13</xdr:row>
      <xdr:rowOff>14816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042A9B-E249-4AAF-9D58-7248ACB8A84F}"/>
            </a:ext>
          </a:extLst>
        </xdr:cNvPr>
        <xdr:cNvSpPr/>
      </xdr:nvSpPr>
      <xdr:spPr>
        <a:xfrm>
          <a:off x="109540" y="2352675"/>
          <a:ext cx="1895475" cy="3524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ptos Narrow (Corpo)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109540</xdr:colOff>
      <xdr:row>13</xdr:row>
      <xdr:rowOff>119591</xdr:rowOff>
    </xdr:from>
    <xdr:to>
      <xdr:col>0</xdr:col>
      <xdr:colOff>2005015</xdr:colOff>
      <xdr:row>15</xdr:row>
      <xdr:rowOff>91016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6DB4A3A-B847-4ABB-9763-5DE202D59D9D}"/>
            </a:ext>
          </a:extLst>
        </xdr:cNvPr>
        <xdr:cNvSpPr/>
      </xdr:nvSpPr>
      <xdr:spPr>
        <a:xfrm>
          <a:off x="109540" y="2809875"/>
          <a:ext cx="1895475" cy="3524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ptos Narrow (Corpo)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109540</xdr:colOff>
      <xdr:row>16</xdr:row>
      <xdr:rowOff>5291</xdr:rowOff>
    </xdr:from>
    <xdr:to>
      <xdr:col>0</xdr:col>
      <xdr:colOff>2005015</xdr:colOff>
      <xdr:row>17</xdr:row>
      <xdr:rowOff>167216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AFDA47B-CF5A-4BD1-A9F4-8F1CBF344F71}"/>
            </a:ext>
          </a:extLst>
        </xdr:cNvPr>
        <xdr:cNvSpPr/>
      </xdr:nvSpPr>
      <xdr:spPr>
        <a:xfrm>
          <a:off x="109540" y="3267075"/>
          <a:ext cx="1895475" cy="352425"/>
        </a:xfrm>
        <a:prstGeom prst="roundRect">
          <a:avLst>
            <a:gd name="adj" fmla="val 50000"/>
          </a:avLst>
        </a:prstGeom>
        <a:gradFill flip="none" rotWithShape="1">
          <a:gsLst>
            <a:gs pos="34000">
              <a:srgbClr val="EE37BF"/>
            </a:gs>
            <a:gs pos="82000">
              <a:srgbClr val="6124E8">
                <a:alpha val="78000"/>
                <a:lumMod val="100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>
              <a:latin typeface="Aptos Narrow (Corpo)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95252</xdr:colOff>
      <xdr:row>19</xdr:row>
      <xdr:rowOff>157691</xdr:rowOff>
    </xdr:from>
    <xdr:to>
      <xdr:col>0</xdr:col>
      <xdr:colOff>2000252</xdr:colOff>
      <xdr:row>21</xdr:row>
      <xdr:rowOff>62441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9280FB19-47BB-4AFC-95BE-37197AC48102}"/>
            </a:ext>
          </a:extLst>
        </xdr:cNvPr>
        <xdr:cNvSpPr/>
      </xdr:nvSpPr>
      <xdr:spPr>
        <a:xfrm>
          <a:off x="95252" y="3990975"/>
          <a:ext cx="19050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aseline="0">
              <a:solidFill>
                <a:schemeClr val="bg1">
                  <a:lumMod val="75000"/>
                </a:schemeClr>
              </a:solidFill>
            </a:rPr>
            <a:t>BY MARCELLA PITALUGA </a:t>
          </a:r>
          <a:r>
            <a:rPr lang="pt-BR" sz="1000" baseline="0"/>
            <a:t>💜</a:t>
          </a:r>
          <a:endParaRPr lang="pt-BR" sz="1000"/>
        </a:p>
      </xdr:txBody>
    </xdr:sp>
    <xdr:clientData/>
  </xdr:twoCellAnchor>
  <xdr:twoCellAnchor editAs="absolute">
    <xdr:from>
      <xdr:col>0</xdr:col>
      <xdr:colOff>276227</xdr:colOff>
      <xdr:row>19</xdr:row>
      <xdr:rowOff>186266</xdr:rowOff>
    </xdr:from>
    <xdr:to>
      <xdr:col>0</xdr:col>
      <xdr:colOff>1819277</xdr:colOff>
      <xdr:row>19</xdr:row>
      <xdr:rowOff>186266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CD28D9B3-88D9-45A2-B0C2-E97B404D581E}"/>
            </a:ext>
          </a:extLst>
        </xdr:cNvPr>
        <xdr:cNvCxnSpPr/>
      </xdr:nvCxnSpPr>
      <xdr:spPr>
        <a:xfrm>
          <a:off x="276227" y="4019550"/>
          <a:ext cx="1543050" cy="0"/>
        </a:xfrm>
        <a:prstGeom prst="line">
          <a:avLst/>
        </a:prstGeom>
        <a:ln>
          <a:solidFill>
            <a:srgbClr val="EE37B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0</xdr:colOff>
      <xdr:row>32</xdr:row>
      <xdr:rowOff>0</xdr:rowOff>
    </xdr:from>
    <xdr:to>
      <xdr:col>10</xdr:col>
      <xdr:colOff>304800</xdr:colOff>
      <xdr:row>33</xdr:row>
      <xdr:rowOff>114300</xdr:rowOff>
    </xdr:to>
    <xdr:sp macro="" textlink="">
      <xdr:nvSpPr>
        <xdr:cNvPr id="4102" name="AutoShape 6" descr="Linkedin Icons PNG, Vector, PSD, and Clipart With Transparent Background  for Free Download | Pngtree">
          <a:extLst>
            <a:ext uri="{FF2B5EF4-FFF2-40B4-BE49-F238E27FC236}">
              <a16:creationId xmlns:a16="http://schemas.microsoft.com/office/drawing/2014/main" id="{B8F79D3B-8028-615D-BFB5-9EC84C5B952A}"/>
            </a:ext>
          </a:extLst>
        </xdr:cNvPr>
        <xdr:cNvSpPr>
          <a:spLocks noChangeAspect="1" noChangeArrowheads="1"/>
        </xdr:cNvSpPr>
      </xdr:nvSpPr>
      <xdr:spPr bwMode="auto">
        <a:xfrm>
          <a:off x="7591425" y="609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21</xdr:row>
      <xdr:rowOff>0</xdr:rowOff>
    </xdr:from>
    <xdr:to>
      <xdr:col>6</xdr:col>
      <xdr:colOff>304800</xdr:colOff>
      <xdr:row>22</xdr:row>
      <xdr:rowOff>114300</xdr:rowOff>
    </xdr:to>
    <xdr:sp macro="" textlink="">
      <xdr:nvSpPr>
        <xdr:cNvPr id="4104" name="AutoShape 8" descr="Linkedin Icons PNG, Vector, PSD, and Clipart With Transparent Background  for Free Download | Pngtree">
          <a:extLst>
            <a:ext uri="{FF2B5EF4-FFF2-40B4-BE49-F238E27FC236}">
              <a16:creationId xmlns:a16="http://schemas.microsoft.com/office/drawing/2014/main" id="{2334E09D-9E7E-2274-C228-8BBB9E6C4114}"/>
            </a:ext>
          </a:extLst>
        </xdr:cNvPr>
        <xdr:cNvSpPr>
          <a:spLocks noChangeAspect="1" noChangeArrowheads="1"/>
        </xdr:cNvSpPr>
      </xdr:nvSpPr>
      <xdr:spPr bwMode="auto">
        <a:xfrm>
          <a:off x="5153025" y="40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533401</xdr:colOff>
      <xdr:row>20</xdr:row>
      <xdr:rowOff>176741</xdr:rowOff>
    </xdr:from>
    <xdr:to>
      <xdr:col>0</xdr:col>
      <xdr:colOff>990601</xdr:colOff>
      <xdr:row>23</xdr:row>
      <xdr:rowOff>62441</xdr:rowOff>
    </xdr:to>
    <xdr:pic>
      <xdr:nvPicPr>
        <xdr:cNvPr id="15" name="Imagem 14" descr="Ícones brancos de Linkedin – Baixe gratuitamente em SVG, PNG, GIF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DC7361B-24E0-63B7-D730-0F8AE17021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1" y="4200525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1019176</xdr:colOff>
      <xdr:row>21</xdr:row>
      <xdr:rowOff>5292</xdr:rowOff>
    </xdr:from>
    <xdr:to>
      <xdr:col>0</xdr:col>
      <xdr:colOff>1438275</xdr:colOff>
      <xdr:row>23</xdr:row>
      <xdr:rowOff>43391</xdr:rowOff>
    </xdr:to>
    <xdr:pic>
      <xdr:nvPicPr>
        <xdr:cNvPr id="16" name="Imagem 15" descr="Ícones brancos de Instagram – Baixe gratuitamente em SVG, PNG, GIF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4B97986-B6C9-F793-4C4D-098A90F96B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176" y="4219576"/>
          <a:ext cx="419099" cy="4190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5</xdr:row>
      <xdr:rowOff>84667</xdr:rowOff>
    </xdr:from>
    <xdr:to>
      <xdr:col>2</xdr:col>
      <xdr:colOff>1852083</xdr:colOff>
      <xdr:row>6</xdr:row>
      <xdr:rowOff>179917</xdr:rowOff>
    </xdr:to>
    <xdr:sp macro="" textlink="">
      <xdr:nvSpPr>
        <xdr:cNvPr id="9" name="Retângulo: Cantos Arredond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2ED5B9C-49DE-4D1D-B291-ED21A5A5F568}"/>
            </a:ext>
          </a:extLst>
        </xdr:cNvPr>
        <xdr:cNvSpPr/>
      </xdr:nvSpPr>
      <xdr:spPr>
        <a:xfrm>
          <a:off x="2719917" y="1111250"/>
          <a:ext cx="1852083" cy="285750"/>
        </a:xfrm>
        <a:prstGeom prst="roundRect">
          <a:avLst>
            <a:gd name="adj" fmla="val 0"/>
          </a:avLst>
        </a:prstGeom>
        <a:solidFill>
          <a:srgbClr val="EE37B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>
              <a:solidFill>
                <a:schemeClr val="bg1"/>
              </a:solidFill>
            </a:rPr>
            <a:t>&lt;-</a:t>
          </a:r>
          <a:r>
            <a:rPr lang="pt-BR" sz="1500" b="1" baseline="0">
              <a:solidFill>
                <a:schemeClr val="bg1"/>
              </a:solidFill>
            </a:rPr>
            <a:t> </a:t>
          </a:r>
          <a:r>
            <a:rPr lang="pt-BR" sz="1500" b="1">
              <a:solidFill>
                <a:schemeClr val="bg1"/>
              </a:solidFill>
            </a:rPr>
            <a:t>ANTERIOR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8E3107-853A-4A49-BE9F-0F847966ECA9}" name="Tabela1" displayName="Tabela1" ref="C13:E104" totalsRowShown="0" headerRowDxfId="4" dataDxfId="3">
  <autoFilter ref="C13:E104" xr:uid="{F58E3107-853A-4A49-BE9F-0F847966ECA9}"/>
  <tableColumns count="3">
    <tableColumn id="1" xr3:uid="{D2B9022F-833D-44F0-89CA-9B62C13E7042}" name="DATA" dataDxfId="2"/>
    <tableColumn id="2" xr3:uid="{71468999-8FB1-4B4A-A0DD-191E9C09246D}" name="CATEGORIA" dataDxfId="1"/>
    <tableColumn id="3" xr3:uid="{F2995F16-B6FE-46FF-AF77-E11F278CB323}" name="VALOR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pereira@icloud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B8D16-B258-4D91-A5A5-E4F106479CEA}">
  <sheetPr codeName="Planilha1"/>
  <dimension ref="A3:O20"/>
  <sheetViews>
    <sheetView showGridLines="0" showRowColHeaders="0" tabSelected="1" zoomScale="90" zoomScaleNormal="90" workbookViewId="0">
      <selection activeCell="D7" sqref="D7"/>
    </sheetView>
  </sheetViews>
  <sheetFormatPr defaultRowHeight="15" x14ac:dyDescent="0.25"/>
  <cols>
    <col min="1" max="1" width="31.5703125" style="1" customWidth="1"/>
    <col min="2" max="2" width="9.140625" style="1" customWidth="1"/>
    <col min="3" max="3" width="40" style="1" customWidth="1"/>
    <col min="4" max="4" width="53" style="1" customWidth="1"/>
    <col min="5" max="15" width="9.140625" style="1"/>
  </cols>
  <sheetData>
    <row r="3" spans="3:6" ht="20.25" customHeight="1" thickBot="1" x14ac:dyDescent="0.35">
      <c r="C3" s="2" t="s">
        <v>17</v>
      </c>
      <c r="D3" s="3"/>
      <c r="E3" s="3"/>
    </row>
    <row r="4" spans="3:6" ht="15.75" thickTop="1" x14ac:dyDescent="0.25">
      <c r="C4" s="17" t="s">
        <v>25</v>
      </c>
      <c r="D4" s="17"/>
      <c r="E4" s="17"/>
    </row>
    <row r="7" spans="3:6" x14ac:dyDescent="0.25">
      <c r="C7" s="4" t="s">
        <v>3</v>
      </c>
      <c r="D7" s="20" t="s">
        <v>20</v>
      </c>
    </row>
    <row r="8" spans="3:6" x14ac:dyDescent="0.25">
      <c r="C8" s="4" t="s">
        <v>4</v>
      </c>
      <c r="D8" s="22">
        <v>95584736152</v>
      </c>
      <c r="E8" s="6"/>
    </row>
    <row r="9" spans="3:6" x14ac:dyDescent="0.25">
      <c r="C9" s="4" t="s">
        <v>5</v>
      </c>
      <c r="D9" s="20">
        <v>34592</v>
      </c>
      <c r="E9" s="6"/>
    </row>
    <row r="10" spans="3:6" x14ac:dyDescent="0.25">
      <c r="C10" s="4" t="s">
        <v>6</v>
      </c>
      <c r="D10" s="23">
        <v>1232589</v>
      </c>
      <c r="E10" s="6"/>
    </row>
    <row r="11" spans="3:6" x14ac:dyDescent="0.25">
      <c r="C11" s="4" t="s">
        <v>7</v>
      </c>
      <c r="D11" s="20" t="s">
        <v>21</v>
      </c>
    </row>
    <row r="12" spans="3:6" x14ac:dyDescent="0.25">
      <c r="C12" s="4" t="s">
        <v>8</v>
      </c>
      <c r="D12" s="24" t="s">
        <v>22</v>
      </c>
      <c r="F12" s="5"/>
    </row>
    <row r="13" spans="3:6" x14ac:dyDescent="0.25">
      <c r="C13" s="4" t="s">
        <v>9</v>
      </c>
      <c r="D13" s="20" t="s">
        <v>23</v>
      </c>
    </row>
    <row r="14" spans="3:6" x14ac:dyDescent="0.25">
      <c r="C14" s="4" t="s">
        <v>10</v>
      </c>
      <c r="D14" s="25">
        <v>75708460</v>
      </c>
      <c r="E14" s="6"/>
    </row>
    <row r="15" spans="3:6" x14ac:dyDescent="0.25">
      <c r="C15" s="4" t="s">
        <v>11</v>
      </c>
      <c r="D15" s="26">
        <v>6434421218</v>
      </c>
      <c r="E15" s="6"/>
    </row>
    <row r="16" spans="3:6" x14ac:dyDescent="0.25">
      <c r="C16" s="4" t="s">
        <v>12</v>
      </c>
      <c r="D16" s="27">
        <v>64998541832</v>
      </c>
      <c r="E16" s="6"/>
    </row>
    <row r="17" spans="3:4" x14ac:dyDescent="0.25">
      <c r="C17" s="4" t="s">
        <v>13</v>
      </c>
      <c r="D17" s="28" t="s">
        <v>24</v>
      </c>
    </row>
    <row r="18" spans="3:4" x14ac:dyDescent="0.25">
      <c r="C18" s="4" t="s">
        <v>14</v>
      </c>
      <c r="D18" s="24" t="s">
        <v>18</v>
      </c>
    </row>
    <row r="19" spans="3:4" x14ac:dyDescent="0.25">
      <c r="C19" s="4" t="s">
        <v>15</v>
      </c>
      <c r="D19" s="20" t="s">
        <v>19</v>
      </c>
    </row>
    <row r="20" spans="3:4" x14ac:dyDescent="0.25">
      <c r="C20" s="4" t="s">
        <v>16</v>
      </c>
      <c r="D20" s="24" t="s">
        <v>19</v>
      </c>
    </row>
  </sheetData>
  <sheetProtection sheet="1" objects="1" scenarios="1" selectLockedCells="1"/>
  <mergeCells count="1">
    <mergeCell ref="C4:E4"/>
  </mergeCells>
  <dataValidations count="1">
    <dataValidation type="list" allowBlank="1" showInputMessage="1" showErrorMessage="1" sqref="D18:D20" xr:uid="{8B4C546D-54B1-40B1-8D73-802B2415AD61}">
      <formula1>"SIM,NÃO"</formula1>
    </dataValidation>
  </dataValidations>
  <hyperlinks>
    <hyperlink ref="D17" r:id="rId1" xr:uid="{EFFD330E-1B05-49B0-A158-B35105AFFB6B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55D76-103D-4763-909B-7A5F8A0E1111}">
  <sheetPr codeName="Planilha2"/>
  <dimension ref="A1:T58"/>
  <sheetViews>
    <sheetView showGridLines="0" showRowColHeaders="0" zoomScale="90" zoomScaleNormal="90" workbookViewId="0">
      <selection activeCell="D11" sqref="D11"/>
    </sheetView>
  </sheetViews>
  <sheetFormatPr defaultRowHeight="15" x14ac:dyDescent="0.25"/>
  <cols>
    <col min="1" max="1" width="31.5703125" style="1" customWidth="1"/>
    <col min="2" max="2" width="9.140625" style="1"/>
    <col min="3" max="3" width="40" style="1" customWidth="1"/>
    <col min="4" max="4" width="71.7109375" style="1" customWidth="1"/>
    <col min="5" max="6" width="9.140625" style="1"/>
    <col min="7" max="20" width="9.140625" style="1" customWidth="1"/>
    <col min="21" max="25" width="9.140625" customWidth="1"/>
  </cols>
  <sheetData>
    <row r="1" spans="3:18" x14ac:dyDescent="0.25">
      <c r="C1" s="8"/>
      <c r="D1" s="6"/>
    </row>
    <row r="2" spans="3:18" x14ac:dyDescent="0.25">
      <c r="D2" s="6"/>
    </row>
    <row r="3" spans="3:18" ht="20.25" customHeight="1" thickBot="1" x14ac:dyDescent="0.35">
      <c r="C3" s="2" t="s">
        <v>514</v>
      </c>
      <c r="D3" s="3"/>
      <c r="E3" s="3"/>
    </row>
    <row r="4" spans="3:18" ht="15.75" thickTop="1" x14ac:dyDescent="0.25">
      <c r="C4" s="17" t="s">
        <v>25</v>
      </c>
      <c r="D4" s="17"/>
      <c r="E4" s="17"/>
    </row>
    <row r="5" spans="3:18" ht="50.1" customHeight="1" x14ac:dyDescent="0.25">
      <c r="C5" s="7"/>
      <c r="D5" s="7"/>
      <c r="R5" s="9"/>
    </row>
    <row r="6" spans="3:18" x14ac:dyDescent="0.25">
      <c r="C6" s="6" t="s">
        <v>525</v>
      </c>
    </row>
    <row r="7" spans="3:18" ht="25.5" customHeight="1" x14ac:dyDescent="0.25">
      <c r="C7" s="29">
        <f>SUM(D11+D16+D21+D26+D31+D36+D41+D46+D51+D56)</f>
        <v>152583</v>
      </c>
      <c r="D7" s="30"/>
    </row>
    <row r="9" spans="3:18" x14ac:dyDescent="0.25">
      <c r="C9" s="5" t="s">
        <v>524</v>
      </c>
    </row>
    <row r="10" spans="3:18" x14ac:dyDescent="0.25">
      <c r="C10" s="4" t="s">
        <v>26</v>
      </c>
      <c r="D10" s="20" t="s">
        <v>45</v>
      </c>
    </row>
    <row r="11" spans="3:18" x14ac:dyDescent="0.25">
      <c r="C11" s="4" t="s">
        <v>27</v>
      </c>
      <c r="D11" s="21">
        <v>100000</v>
      </c>
    </row>
    <row r="12" spans="3:18" x14ac:dyDescent="0.25">
      <c r="C12" s="4" t="s">
        <v>28</v>
      </c>
      <c r="D12" s="20" t="s">
        <v>534</v>
      </c>
    </row>
    <row r="13" spans="3:18" x14ac:dyDescent="0.25">
      <c r="D13" s="16"/>
    </row>
    <row r="14" spans="3:18" x14ac:dyDescent="0.25">
      <c r="C14" s="5" t="s">
        <v>515</v>
      </c>
      <c r="D14" s="16"/>
    </row>
    <row r="15" spans="3:18" x14ac:dyDescent="0.25">
      <c r="C15" s="4" t="s">
        <v>26</v>
      </c>
      <c r="D15" s="20" t="s">
        <v>29</v>
      </c>
    </row>
    <row r="16" spans="3:18" x14ac:dyDescent="0.25">
      <c r="C16" s="4" t="s">
        <v>27</v>
      </c>
      <c r="D16" s="21">
        <v>47583</v>
      </c>
    </row>
    <row r="17" spans="3:4" x14ac:dyDescent="0.25">
      <c r="C17" s="4" t="s">
        <v>28</v>
      </c>
      <c r="D17" s="20" t="s">
        <v>535</v>
      </c>
    </row>
    <row r="18" spans="3:4" x14ac:dyDescent="0.25">
      <c r="D18" s="16"/>
    </row>
    <row r="19" spans="3:4" x14ac:dyDescent="0.25">
      <c r="C19" s="5" t="s">
        <v>516</v>
      </c>
      <c r="D19" s="16"/>
    </row>
    <row r="20" spans="3:4" x14ac:dyDescent="0.25">
      <c r="C20" s="4" t="s">
        <v>26</v>
      </c>
      <c r="D20" s="20" t="s">
        <v>151</v>
      </c>
    </row>
    <row r="21" spans="3:4" x14ac:dyDescent="0.25">
      <c r="C21" s="4" t="s">
        <v>27</v>
      </c>
      <c r="D21" s="21">
        <v>5000</v>
      </c>
    </row>
    <row r="22" spans="3:4" x14ac:dyDescent="0.25">
      <c r="C22" s="4" t="s">
        <v>28</v>
      </c>
      <c r="D22" s="20" t="s">
        <v>536</v>
      </c>
    </row>
    <row r="23" spans="3:4" x14ac:dyDescent="0.25">
      <c r="D23" s="16"/>
    </row>
    <row r="24" spans="3:4" x14ac:dyDescent="0.25">
      <c r="C24" s="5" t="s">
        <v>517</v>
      </c>
      <c r="D24" s="16"/>
    </row>
    <row r="25" spans="3:4" x14ac:dyDescent="0.25">
      <c r="C25" s="4" t="s">
        <v>26</v>
      </c>
      <c r="D25" s="20"/>
    </row>
    <row r="26" spans="3:4" x14ac:dyDescent="0.25">
      <c r="C26" s="4" t="s">
        <v>27</v>
      </c>
      <c r="D26" s="21"/>
    </row>
    <row r="27" spans="3:4" x14ac:dyDescent="0.25">
      <c r="C27" s="4" t="s">
        <v>28</v>
      </c>
      <c r="D27" s="20"/>
    </row>
    <row r="28" spans="3:4" x14ac:dyDescent="0.25">
      <c r="D28" s="16"/>
    </row>
    <row r="29" spans="3:4" x14ac:dyDescent="0.25">
      <c r="C29" s="5" t="s">
        <v>518</v>
      </c>
      <c r="D29" s="16"/>
    </row>
    <row r="30" spans="3:4" x14ac:dyDescent="0.25">
      <c r="C30" s="4" t="s">
        <v>26</v>
      </c>
      <c r="D30" s="20"/>
    </row>
    <row r="31" spans="3:4" x14ac:dyDescent="0.25">
      <c r="C31" s="4" t="s">
        <v>27</v>
      </c>
      <c r="D31" s="21"/>
    </row>
    <row r="32" spans="3:4" x14ac:dyDescent="0.25">
      <c r="C32" s="4" t="s">
        <v>28</v>
      </c>
      <c r="D32" s="20"/>
    </row>
    <row r="33" spans="3:4" x14ac:dyDescent="0.25">
      <c r="D33" s="16"/>
    </row>
    <row r="34" spans="3:4" x14ac:dyDescent="0.25">
      <c r="C34" s="5" t="s">
        <v>519</v>
      </c>
      <c r="D34" s="16"/>
    </row>
    <row r="35" spans="3:4" x14ac:dyDescent="0.25">
      <c r="C35" s="4" t="s">
        <v>26</v>
      </c>
      <c r="D35" s="20"/>
    </row>
    <row r="36" spans="3:4" x14ac:dyDescent="0.25">
      <c r="C36" s="4" t="s">
        <v>27</v>
      </c>
      <c r="D36" s="21"/>
    </row>
    <row r="37" spans="3:4" x14ac:dyDescent="0.25">
      <c r="C37" s="4" t="s">
        <v>28</v>
      </c>
      <c r="D37" s="20"/>
    </row>
    <row r="38" spans="3:4" x14ac:dyDescent="0.25">
      <c r="D38" s="16"/>
    </row>
    <row r="39" spans="3:4" x14ac:dyDescent="0.25">
      <c r="C39" s="5" t="s">
        <v>520</v>
      </c>
      <c r="D39" s="16"/>
    </row>
    <row r="40" spans="3:4" x14ac:dyDescent="0.25">
      <c r="C40" s="4" t="s">
        <v>26</v>
      </c>
      <c r="D40" s="20"/>
    </row>
    <row r="41" spans="3:4" x14ac:dyDescent="0.25">
      <c r="C41" s="4" t="s">
        <v>27</v>
      </c>
      <c r="D41" s="21"/>
    </row>
    <row r="42" spans="3:4" x14ac:dyDescent="0.25">
      <c r="C42" s="4" t="s">
        <v>28</v>
      </c>
      <c r="D42" s="20"/>
    </row>
    <row r="43" spans="3:4" x14ac:dyDescent="0.25">
      <c r="D43" s="16"/>
    </row>
    <row r="44" spans="3:4" x14ac:dyDescent="0.25">
      <c r="C44" s="5" t="s">
        <v>521</v>
      </c>
      <c r="D44" s="16"/>
    </row>
    <row r="45" spans="3:4" x14ac:dyDescent="0.25">
      <c r="C45" s="4" t="s">
        <v>26</v>
      </c>
      <c r="D45" s="20"/>
    </row>
    <row r="46" spans="3:4" x14ac:dyDescent="0.25">
      <c r="C46" s="4" t="s">
        <v>27</v>
      </c>
      <c r="D46" s="21"/>
    </row>
    <row r="47" spans="3:4" x14ac:dyDescent="0.25">
      <c r="C47" s="4" t="s">
        <v>28</v>
      </c>
      <c r="D47" s="20"/>
    </row>
    <row r="48" spans="3:4" x14ac:dyDescent="0.25">
      <c r="D48" s="16"/>
    </row>
    <row r="49" spans="3:4" x14ac:dyDescent="0.25">
      <c r="C49" s="5" t="s">
        <v>522</v>
      </c>
      <c r="D49" s="16"/>
    </row>
    <row r="50" spans="3:4" x14ac:dyDescent="0.25">
      <c r="C50" s="4" t="s">
        <v>26</v>
      </c>
      <c r="D50" s="20"/>
    </row>
    <row r="51" spans="3:4" x14ac:dyDescent="0.25">
      <c r="C51" s="4" t="s">
        <v>27</v>
      </c>
      <c r="D51" s="21"/>
    </row>
    <row r="52" spans="3:4" x14ac:dyDescent="0.25">
      <c r="C52" s="4" t="s">
        <v>28</v>
      </c>
      <c r="D52" s="20"/>
    </row>
    <row r="53" spans="3:4" x14ac:dyDescent="0.25">
      <c r="D53" s="16"/>
    </row>
    <row r="54" spans="3:4" x14ac:dyDescent="0.25">
      <c r="C54" s="5" t="s">
        <v>523</v>
      </c>
      <c r="D54" s="16"/>
    </row>
    <row r="55" spans="3:4" x14ac:dyDescent="0.25">
      <c r="C55" s="4" t="s">
        <v>26</v>
      </c>
      <c r="D55" s="20"/>
    </row>
    <row r="56" spans="3:4" x14ac:dyDescent="0.25">
      <c r="C56" s="4" t="s">
        <v>27</v>
      </c>
      <c r="D56" s="21"/>
    </row>
    <row r="57" spans="3:4" x14ac:dyDescent="0.25">
      <c r="C57" s="4" t="s">
        <v>28</v>
      </c>
      <c r="D57" s="20"/>
    </row>
    <row r="58" spans="3:4" x14ac:dyDescent="0.25">
      <c r="D58" s="16"/>
    </row>
  </sheetData>
  <sheetProtection sheet="1" objects="1" scenarios="1" selectLockedCells="1"/>
  <mergeCells count="2">
    <mergeCell ref="C4:E4"/>
    <mergeCell ref="C7:D7"/>
  </mergeCells>
  <phoneticPr fontId="9" type="noConversion"/>
  <dataValidations count="1">
    <dataValidation allowBlank="1" showInputMessage="1" showErrorMessage="1" promptTitle="Atenção" prompt="Digite a palabra chave do seu banco (Ex: nu; brasil; caixa; etc) e dê enter, abrirá uma caixa e você poderá selecionar a opção desejada dentre as disponíveis." sqref="D10 D15 D20 D25 D30 D35 D40 D45 D50 D55" xr:uid="{F6BADA1A-5AF4-4A1C-9574-B09F8F7F7770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84B46-8BA6-424D-A59C-C7C869EA5468}">
  <sheetPr codeName="Planilha3"/>
  <dimension ref="A3:V104"/>
  <sheetViews>
    <sheetView showGridLines="0" showRowColHeaders="0" zoomScale="90" zoomScaleNormal="90" workbookViewId="0">
      <selection activeCell="C14" sqref="C14"/>
    </sheetView>
  </sheetViews>
  <sheetFormatPr defaultRowHeight="15" x14ac:dyDescent="0.25"/>
  <cols>
    <col min="1" max="1" width="31.5703125" style="1" customWidth="1"/>
    <col min="2" max="2" width="9.140625" style="1"/>
    <col min="3" max="5" width="36.5703125" style="1" customWidth="1"/>
    <col min="6" max="22" width="9.140625" style="1"/>
  </cols>
  <sheetData>
    <row r="3" spans="1:22" ht="20.25" customHeight="1" thickBot="1" x14ac:dyDescent="0.35">
      <c r="C3" s="2" t="s">
        <v>527</v>
      </c>
      <c r="D3" s="3"/>
      <c r="E3" s="3"/>
    </row>
    <row r="4" spans="1:22" ht="15.75" thickTop="1" x14ac:dyDescent="0.25">
      <c r="C4" s="17" t="s">
        <v>526</v>
      </c>
      <c r="D4" s="17"/>
      <c r="E4" s="17"/>
    </row>
    <row r="9" spans="1:22" x14ac:dyDescent="0.25">
      <c r="C9" s="6" t="s">
        <v>525</v>
      </c>
    </row>
    <row r="10" spans="1:22" s="12" customFormat="1" ht="25.5" customHeight="1" x14ac:dyDescent="0.25">
      <c r="A10" s="11"/>
      <c r="B10" s="11"/>
      <c r="C10" s="29">
        <f>SUM(Tabela1[VALOR])</f>
        <v>1960</v>
      </c>
      <c r="D10" s="29"/>
      <c r="E10" s="29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</row>
    <row r="12" spans="1:22" x14ac:dyDescent="0.25">
      <c r="C12" s="18" t="s">
        <v>531</v>
      </c>
      <c r="D12" s="18"/>
      <c r="E12" s="18"/>
    </row>
    <row r="13" spans="1:22" x14ac:dyDescent="0.25">
      <c r="C13" s="10" t="s">
        <v>528</v>
      </c>
      <c r="D13" s="10" t="s">
        <v>529</v>
      </c>
      <c r="E13" s="10" t="s">
        <v>530</v>
      </c>
    </row>
    <row r="14" spans="1:22" x14ac:dyDescent="0.25">
      <c r="C14" s="13">
        <v>46037</v>
      </c>
      <c r="D14" s="14" t="s">
        <v>532</v>
      </c>
      <c r="E14" s="15">
        <v>560</v>
      </c>
    </row>
    <row r="15" spans="1:22" x14ac:dyDescent="0.25">
      <c r="C15" s="13">
        <v>46041</v>
      </c>
      <c r="D15" s="14" t="s">
        <v>533</v>
      </c>
      <c r="E15" s="15">
        <v>1250</v>
      </c>
    </row>
    <row r="16" spans="1:22" x14ac:dyDescent="0.25">
      <c r="C16" s="13">
        <v>46050</v>
      </c>
      <c r="D16" s="14" t="s">
        <v>532</v>
      </c>
      <c r="E16" s="15">
        <v>150</v>
      </c>
    </row>
    <row r="17" spans="3:5" x14ac:dyDescent="0.25">
      <c r="C17" s="13"/>
      <c r="D17" s="14"/>
      <c r="E17" s="15"/>
    </row>
    <row r="18" spans="3:5" x14ac:dyDescent="0.25">
      <c r="C18" s="13"/>
      <c r="D18" s="14"/>
      <c r="E18" s="15"/>
    </row>
    <row r="19" spans="3:5" x14ac:dyDescent="0.25">
      <c r="C19" s="13"/>
      <c r="D19" s="14"/>
      <c r="E19" s="15"/>
    </row>
    <row r="20" spans="3:5" x14ac:dyDescent="0.25">
      <c r="C20" s="13"/>
      <c r="D20" s="14"/>
      <c r="E20" s="15"/>
    </row>
    <row r="21" spans="3:5" x14ac:dyDescent="0.25">
      <c r="C21" s="13"/>
      <c r="D21" s="14"/>
      <c r="E21" s="15"/>
    </row>
    <row r="22" spans="3:5" x14ac:dyDescent="0.25">
      <c r="C22" s="13"/>
      <c r="D22" s="14"/>
      <c r="E22" s="15"/>
    </row>
    <row r="23" spans="3:5" x14ac:dyDescent="0.25">
      <c r="C23" s="13"/>
      <c r="D23" s="14"/>
      <c r="E23" s="15"/>
    </row>
    <row r="24" spans="3:5" x14ac:dyDescent="0.25">
      <c r="C24" s="13"/>
      <c r="D24" s="14"/>
      <c r="E24" s="15"/>
    </row>
    <row r="25" spans="3:5" x14ac:dyDescent="0.25">
      <c r="C25" s="13"/>
      <c r="D25" s="14"/>
      <c r="E25" s="15"/>
    </row>
    <row r="26" spans="3:5" x14ac:dyDescent="0.25">
      <c r="C26" s="13"/>
      <c r="D26" s="14"/>
      <c r="E26" s="15"/>
    </row>
    <row r="27" spans="3:5" x14ac:dyDescent="0.25">
      <c r="C27" s="13"/>
      <c r="D27" s="14"/>
      <c r="E27" s="15"/>
    </row>
    <row r="28" spans="3:5" x14ac:dyDescent="0.25">
      <c r="C28" s="13"/>
      <c r="D28" s="14"/>
      <c r="E28" s="15"/>
    </row>
    <row r="29" spans="3:5" x14ac:dyDescent="0.25">
      <c r="C29" s="13"/>
      <c r="D29" s="14"/>
      <c r="E29" s="15"/>
    </row>
    <row r="30" spans="3:5" x14ac:dyDescent="0.25">
      <c r="C30" s="13"/>
      <c r="D30" s="14"/>
      <c r="E30" s="15"/>
    </row>
    <row r="31" spans="3:5" x14ac:dyDescent="0.25">
      <c r="C31" s="13"/>
      <c r="D31" s="14"/>
      <c r="E31" s="15"/>
    </row>
    <row r="32" spans="3:5" x14ac:dyDescent="0.25">
      <c r="C32" s="13"/>
      <c r="D32" s="14"/>
      <c r="E32" s="15"/>
    </row>
    <row r="33" spans="3:5" x14ac:dyDescent="0.25">
      <c r="C33" s="13"/>
      <c r="D33" s="14"/>
      <c r="E33" s="15"/>
    </row>
    <row r="34" spans="3:5" x14ac:dyDescent="0.25">
      <c r="C34" s="13"/>
      <c r="D34" s="14"/>
      <c r="E34" s="15"/>
    </row>
    <row r="35" spans="3:5" x14ac:dyDescent="0.25">
      <c r="C35" s="13"/>
      <c r="D35" s="14"/>
      <c r="E35" s="15"/>
    </row>
    <row r="36" spans="3:5" x14ac:dyDescent="0.25">
      <c r="C36" s="13"/>
      <c r="D36" s="14"/>
      <c r="E36" s="15"/>
    </row>
    <row r="37" spans="3:5" x14ac:dyDescent="0.25">
      <c r="C37" s="13"/>
      <c r="D37" s="14"/>
      <c r="E37" s="15"/>
    </row>
    <row r="38" spans="3:5" x14ac:dyDescent="0.25">
      <c r="C38" s="13"/>
      <c r="D38" s="14"/>
      <c r="E38" s="15"/>
    </row>
    <row r="39" spans="3:5" x14ac:dyDescent="0.25">
      <c r="C39" s="13"/>
      <c r="D39" s="14"/>
      <c r="E39" s="15"/>
    </row>
    <row r="40" spans="3:5" x14ac:dyDescent="0.25">
      <c r="C40" s="13"/>
      <c r="D40" s="14"/>
      <c r="E40" s="15"/>
    </row>
    <row r="41" spans="3:5" x14ac:dyDescent="0.25">
      <c r="C41" s="13"/>
      <c r="D41" s="14"/>
      <c r="E41" s="15"/>
    </row>
    <row r="42" spans="3:5" x14ac:dyDescent="0.25">
      <c r="C42" s="13"/>
      <c r="D42" s="14"/>
      <c r="E42" s="15"/>
    </row>
    <row r="43" spans="3:5" x14ac:dyDescent="0.25">
      <c r="C43" s="13"/>
      <c r="D43" s="14"/>
      <c r="E43" s="15"/>
    </row>
    <row r="44" spans="3:5" x14ac:dyDescent="0.25">
      <c r="C44" s="13"/>
      <c r="D44" s="14"/>
      <c r="E44" s="15"/>
    </row>
    <row r="45" spans="3:5" x14ac:dyDescent="0.25">
      <c r="C45" s="13"/>
      <c r="D45" s="14"/>
      <c r="E45" s="15"/>
    </row>
    <row r="46" spans="3:5" x14ac:dyDescent="0.25">
      <c r="C46" s="13"/>
      <c r="D46" s="14"/>
      <c r="E46" s="15"/>
    </row>
    <row r="47" spans="3:5" x14ac:dyDescent="0.25">
      <c r="C47" s="13"/>
      <c r="D47" s="14"/>
      <c r="E47" s="15"/>
    </row>
    <row r="48" spans="3:5" x14ac:dyDescent="0.25">
      <c r="C48" s="13"/>
      <c r="D48" s="14"/>
      <c r="E48" s="15"/>
    </row>
    <row r="49" spans="3:5" x14ac:dyDescent="0.25">
      <c r="C49" s="13"/>
      <c r="D49" s="14"/>
      <c r="E49" s="15"/>
    </row>
    <row r="50" spans="3:5" x14ac:dyDescent="0.25">
      <c r="C50" s="13"/>
      <c r="D50" s="14"/>
      <c r="E50" s="15"/>
    </row>
    <row r="51" spans="3:5" x14ac:dyDescent="0.25">
      <c r="C51" s="13"/>
      <c r="D51" s="14"/>
      <c r="E51" s="15"/>
    </row>
    <row r="52" spans="3:5" x14ac:dyDescent="0.25">
      <c r="C52" s="13"/>
      <c r="D52" s="14"/>
      <c r="E52" s="15"/>
    </row>
    <row r="53" spans="3:5" x14ac:dyDescent="0.25">
      <c r="C53" s="13"/>
      <c r="D53" s="14"/>
      <c r="E53" s="15"/>
    </row>
    <row r="54" spans="3:5" x14ac:dyDescent="0.25">
      <c r="C54" s="13"/>
      <c r="D54" s="14"/>
      <c r="E54" s="15"/>
    </row>
    <row r="55" spans="3:5" x14ac:dyDescent="0.25">
      <c r="C55" s="13"/>
      <c r="D55" s="14"/>
      <c r="E55" s="15"/>
    </row>
    <row r="56" spans="3:5" x14ac:dyDescent="0.25">
      <c r="C56" s="13"/>
      <c r="D56" s="14"/>
      <c r="E56" s="15"/>
    </row>
    <row r="57" spans="3:5" x14ac:dyDescent="0.25">
      <c r="C57" s="13"/>
      <c r="D57" s="14"/>
      <c r="E57" s="15"/>
    </row>
    <row r="58" spans="3:5" x14ac:dyDescent="0.25">
      <c r="C58" s="13"/>
      <c r="D58" s="14"/>
      <c r="E58" s="15"/>
    </row>
    <row r="59" spans="3:5" x14ac:dyDescent="0.25">
      <c r="C59" s="13"/>
      <c r="D59" s="14"/>
      <c r="E59" s="15"/>
    </row>
    <row r="60" spans="3:5" x14ac:dyDescent="0.25">
      <c r="C60" s="13"/>
      <c r="D60" s="14"/>
      <c r="E60" s="15"/>
    </row>
    <row r="61" spans="3:5" x14ac:dyDescent="0.25">
      <c r="C61" s="13"/>
      <c r="D61" s="14"/>
      <c r="E61" s="15"/>
    </row>
    <row r="62" spans="3:5" x14ac:dyDescent="0.25">
      <c r="C62" s="13"/>
      <c r="D62" s="14"/>
      <c r="E62" s="15"/>
    </row>
    <row r="63" spans="3:5" x14ac:dyDescent="0.25">
      <c r="C63" s="13"/>
      <c r="D63" s="14"/>
      <c r="E63" s="15"/>
    </row>
    <row r="64" spans="3:5" x14ac:dyDescent="0.25">
      <c r="C64" s="13"/>
      <c r="D64" s="14"/>
      <c r="E64" s="15"/>
    </row>
    <row r="65" spans="3:5" x14ac:dyDescent="0.25">
      <c r="C65" s="13"/>
      <c r="D65" s="14"/>
      <c r="E65" s="15"/>
    </row>
    <row r="66" spans="3:5" x14ac:dyDescent="0.25">
      <c r="C66" s="13"/>
      <c r="D66" s="14"/>
      <c r="E66" s="15"/>
    </row>
    <row r="67" spans="3:5" x14ac:dyDescent="0.25">
      <c r="C67" s="13"/>
      <c r="D67" s="14"/>
      <c r="E67" s="15"/>
    </row>
    <row r="68" spans="3:5" x14ac:dyDescent="0.25">
      <c r="C68" s="13"/>
      <c r="D68" s="14"/>
      <c r="E68" s="15"/>
    </row>
    <row r="69" spans="3:5" x14ac:dyDescent="0.25">
      <c r="C69" s="13"/>
      <c r="D69" s="14"/>
      <c r="E69" s="15"/>
    </row>
    <row r="70" spans="3:5" x14ac:dyDescent="0.25">
      <c r="C70" s="13"/>
      <c r="D70" s="14"/>
      <c r="E70" s="15"/>
    </row>
    <row r="71" spans="3:5" x14ac:dyDescent="0.25">
      <c r="C71" s="13"/>
      <c r="D71" s="14"/>
      <c r="E71" s="15"/>
    </row>
    <row r="72" spans="3:5" x14ac:dyDescent="0.25">
      <c r="C72" s="13"/>
      <c r="D72" s="14"/>
      <c r="E72" s="15"/>
    </row>
    <row r="73" spans="3:5" x14ac:dyDescent="0.25">
      <c r="C73" s="13"/>
      <c r="D73" s="14"/>
      <c r="E73" s="15"/>
    </row>
    <row r="74" spans="3:5" x14ac:dyDescent="0.25">
      <c r="C74" s="13"/>
      <c r="D74" s="14"/>
      <c r="E74" s="15"/>
    </row>
    <row r="75" spans="3:5" x14ac:dyDescent="0.25">
      <c r="C75" s="13"/>
      <c r="D75" s="14"/>
      <c r="E75" s="15"/>
    </row>
    <row r="76" spans="3:5" x14ac:dyDescent="0.25">
      <c r="C76" s="13"/>
      <c r="D76" s="14"/>
      <c r="E76" s="15"/>
    </row>
    <row r="77" spans="3:5" x14ac:dyDescent="0.25">
      <c r="C77" s="13"/>
      <c r="D77" s="14"/>
      <c r="E77" s="15"/>
    </row>
    <row r="78" spans="3:5" x14ac:dyDescent="0.25">
      <c r="C78" s="13"/>
      <c r="D78" s="14"/>
      <c r="E78" s="15"/>
    </row>
    <row r="79" spans="3:5" x14ac:dyDescent="0.25">
      <c r="C79" s="13"/>
      <c r="D79" s="14"/>
      <c r="E79" s="15"/>
    </row>
    <row r="80" spans="3:5" x14ac:dyDescent="0.25">
      <c r="C80" s="13"/>
      <c r="D80" s="14"/>
      <c r="E80" s="15"/>
    </row>
    <row r="81" spans="3:5" x14ac:dyDescent="0.25">
      <c r="C81" s="13"/>
      <c r="D81" s="14"/>
      <c r="E81" s="15"/>
    </row>
    <row r="82" spans="3:5" x14ac:dyDescent="0.25">
      <c r="C82" s="13"/>
      <c r="D82" s="14"/>
      <c r="E82" s="15"/>
    </row>
    <row r="83" spans="3:5" x14ac:dyDescent="0.25">
      <c r="C83" s="13"/>
      <c r="D83" s="14"/>
      <c r="E83" s="15"/>
    </row>
    <row r="84" spans="3:5" x14ac:dyDescent="0.25">
      <c r="C84" s="13"/>
      <c r="D84" s="14"/>
      <c r="E84" s="15"/>
    </row>
    <row r="85" spans="3:5" x14ac:dyDescent="0.25">
      <c r="C85" s="13"/>
      <c r="D85" s="14"/>
      <c r="E85" s="15"/>
    </row>
    <row r="86" spans="3:5" x14ac:dyDescent="0.25">
      <c r="C86" s="13"/>
      <c r="D86" s="14"/>
      <c r="E86" s="15"/>
    </row>
    <row r="87" spans="3:5" x14ac:dyDescent="0.25">
      <c r="C87" s="13"/>
      <c r="D87" s="14"/>
      <c r="E87" s="15"/>
    </row>
    <row r="88" spans="3:5" x14ac:dyDescent="0.25">
      <c r="C88" s="13"/>
      <c r="D88" s="14"/>
      <c r="E88" s="15"/>
    </row>
    <row r="89" spans="3:5" x14ac:dyDescent="0.25">
      <c r="C89" s="13"/>
      <c r="D89" s="14"/>
      <c r="E89" s="15"/>
    </row>
    <row r="90" spans="3:5" x14ac:dyDescent="0.25">
      <c r="C90" s="13"/>
      <c r="D90" s="14"/>
      <c r="E90" s="15"/>
    </row>
    <row r="91" spans="3:5" x14ac:dyDescent="0.25">
      <c r="C91" s="13"/>
      <c r="D91" s="14"/>
      <c r="E91" s="15"/>
    </row>
    <row r="92" spans="3:5" x14ac:dyDescent="0.25">
      <c r="C92" s="13"/>
      <c r="D92" s="14"/>
      <c r="E92" s="15"/>
    </row>
    <row r="93" spans="3:5" x14ac:dyDescent="0.25">
      <c r="C93" s="13"/>
      <c r="D93" s="14"/>
      <c r="E93" s="15"/>
    </row>
    <row r="94" spans="3:5" x14ac:dyDescent="0.25">
      <c r="C94" s="13"/>
      <c r="D94" s="14"/>
      <c r="E94" s="15"/>
    </row>
    <row r="95" spans="3:5" x14ac:dyDescent="0.25">
      <c r="C95" s="13"/>
      <c r="D95" s="14"/>
      <c r="E95" s="15"/>
    </row>
    <row r="96" spans="3:5" x14ac:dyDescent="0.25">
      <c r="C96" s="13"/>
      <c r="D96" s="14"/>
      <c r="E96" s="15"/>
    </row>
    <row r="97" spans="3:5" x14ac:dyDescent="0.25">
      <c r="C97" s="13"/>
      <c r="D97" s="14"/>
      <c r="E97" s="15"/>
    </row>
    <row r="98" spans="3:5" x14ac:dyDescent="0.25">
      <c r="C98" s="13"/>
      <c r="D98" s="14"/>
      <c r="E98" s="15"/>
    </row>
    <row r="99" spans="3:5" x14ac:dyDescent="0.25">
      <c r="C99" s="13"/>
      <c r="D99" s="14"/>
      <c r="E99" s="15"/>
    </row>
    <row r="100" spans="3:5" x14ac:dyDescent="0.25">
      <c r="C100" s="13"/>
      <c r="D100" s="14"/>
      <c r="E100" s="15"/>
    </row>
    <row r="101" spans="3:5" x14ac:dyDescent="0.25">
      <c r="C101" s="13"/>
      <c r="D101" s="14"/>
      <c r="E101" s="15"/>
    </row>
    <row r="102" spans="3:5" x14ac:dyDescent="0.25">
      <c r="C102" s="13"/>
      <c r="D102" s="14"/>
      <c r="E102" s="15"/>
    </row>
    <row r="103" spans="3:5" x14ac:dyDescent="0.25">
      <c r="C103" s="13"/>
      <c r="D103" s="14"/>
      <c r="E103" s="15"/>
    </row>
    <row r="104" spans="3:5" x14ac:dyDescent="0.25">
      <c r="C104" s="13"/>
      <c r="D104" s="14"/>
      <c r="E104" s="15"/>
    </row>
  </sheetData>
  <sheetProtection sheet="1" objects="1" scenarios="1" selectLockedCells="1"/>
  <mergeCells count="3">
    <mergeCell ref="C4:E4"/>
    <mergeCell ref="C12:E12"/>
    <mergeCell ref="C10:E10"/>
  </mergeCells>
  <dataValidations count="1">
    <dataValidation type="list" allowBlank="1" showInputMessage="1" showErrorMessage="1" sqref="D14:D104" xr:uid="{016A420E-9513-46FA-91A9-02D5241C45C8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2ADC-D5E3-44BA-A2E5-53ADC16609A3}">
  <sheetPr codeName="Planilha4"/>
  <dimension ref="A1:S490"/>
  <sheetViews>
    <sheetView topLeftCell="A113" workbookViewId="0">
      <selection activeCell="A84" sqref="A84"/>
    </sheetView>
  </sheetViews>
  <sheetFormatPr defaultRowHeight="15" x14ac:dyDescent="0.25"/>
  <cols>
    <col min="1" max="1" width="35.42578125" customWidth="1"/>
  </cols>
  <sheetData>
    <row r="1" spans="1:19" x14ac:dyDescent="0.25">
      <c r="A1" s="19" t="s">
        <v>2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</row>
    <row r="2" spans="1:19" x14ac:dyDescent="0.25">
      <c r="A2" t="s">
        <v>29</v>
      </c>
      <c r="S2">
        <f t="shared" ref="S2:S65" si="0">LEN(A2)</f>
        <v>24</v>
      </c>
    </row>
    <row r="3" spans="1:19" x14ac:dyDescent="0.25">
      <c r="A3" t="s">
        <v>30</v>
      </c>
      <c r="S3">
        <f t="shared" si="0"/>
        <v>26</v>
      </c>
    </row>
    <row r="4" spans="1:19" x14ac:dyDescent="0.25">
      <c r="A4" t="s">
        <v>31</v>
      </c>
      <c r="S4">
        <f t="shared" si="0"/>
        <v>36</v>
      </c>
    </row>
    <row r="5" spans="1:19" x14ac:dyDescent="0.25">
      <c r="A5" t="s">
        <v>32</v>
      </c>
      <c r="S5">
        <f t="shared" si="0"/>
        <v>56</v>
      </c>
    </row>
    <row r="6" spans="1:19" x14ac:dyDescent="0.25">
      <c r="A6" t="s">
        <v>33</v>
      </c>
      <c r="S6">
        <f t="shared" si="0"/>
        <v>41</v>
      </c>
    </row>
    <row r="7" spans="1:19" x14ac:dyDescent="0.25">
      <c r="A7" t="s">
        <v>34</v>
      </c>
      <c r="S7">
        <f t="shared" si="0"/>
        <v>43</v>
      </c>
    </row>
    <row r="8" spans="1:19" x14ac:dyDescent="0.25">
      <c r="A8" t="s">
        <v>35</v>
      </c>
      <c r="S8">
        <f t="shared" si="0"/>
        <v>23</v>
      </c>
    </row>
    <row r="9" spans="1:19" x14ac:dyDescent="0.25">
      <c r="A9" t="s">
        <v>36</v>
      </c>
      <c r="S9">
        <f t="shared" si="0"/>
        <v>47</v>
      </c>
    </row>
    <row r="10" spans="1:19" x14ac:dyDescent="0.25">
      <c r="A10" t="s">
        <v>37</v>
      </c>
      <c r="S10">
        <f t="shared" si="0"/>
        <v>66</v>
      </c>
    </row>
    <row r="11" spans="1:19" x14ac:dyDescent="0.25">
      <c r="A11" t="s">
        <v>38</v>
      </c>
      <c r="S11">
        <f t="shared" si="0"/>
        <v>119</v>
      </c>
    </row>
    <row r="12" spans="1:19" x14ac:dyDescent="0.25">
      <c r="A12" t="s">
        <v>39</v>
      </c>
      <c r="S12">
        <f t="shared" si="0"/>
        <v>26</v>
      </c>
    </row>
    <row r="13" spans="1:19" x14ac:dyDescent="0.25">
      <c r="A13" t="s">
        <v>40</v>
      </c>
      <c r="S13">
        <f t="shared" si="0"/>
        <v>23</v>
      </c>
    </row>
    <row r="14" spans="1:19" x14ac:dyDescent="0.25">
      <c r="A14" t="s">
        <v>41</v>
      </c>
      <c r="S14">
        <f t="shared" si="0"/>
        <v>52</v>
      </c>
    </row>
    <row r="15" spans="1:19" x14ac:dyDescent="0.25">
      <c r="A15" t="s">
        <v>42</v>
      </c>
      <c r="S15">
        <f t="shared" si="0"/>
        <v>23</v>
      </c>
    </row>
    <row r="16" spans="1:19" x14ac:dyDescent="0.25">
      <c r="A16" t="s">
        <v>43</v>
      </c>
      <c r="S16">
        <f t="shared" si="0"/>
        <v>20</v>
      </c>
    </row>
    <row r="17" spans="1:19" x14ac:dyDescent="0.25">
      <c r="A17" t="s">
        <v>44</v>
      </c>
      <c r="S17">
        <f t="shared" si="0"/>
        <v>31</v>
      </c>
    </row>
    <row r="18" spans="1:19" x14ac:dyDescent="0.25">
      <c r="A18" t="s">
        <v>45</v>
      </c>
      <c r="S18">
        <f t="shared" si="0"/>
        <v>34</v>
      </c>
    </row>
    <row r="19" spans="1:19" x14ac:dyDescent="0.25">
      <c r="A19" t="s">
        <v>46</v>
      </c>
      <c r="S19">
        <f t="shared" si="0"/>
        <v>28</v>
      </c>
    </row>
    <row r="20" spans="1:19" x14ac:dyDescent="0.25">
      <c r="A20" t="s">
        <v>47</v>
      </c>
      <c r="S20">
        <f t="shared" si="0"/>
        <v>33</v>
      </c>
    </row>
    <row r="21" spans="1:19" x14ac:dyDescent="0.25">
      <c r="A21" t="s">
        <v>48</v>
      </c>
      <c r="S21">
        <f t="shared" si="0"/>
        <v>23</v>
      </c>
    </row>
    <row r="22" spans="1:19" x14ac:dyDescent="0.25">
      <c r="A22" t="s">
        <v>49</v>
      </c>
      <c r="S22">
        <f t="shared" si="0"/>
        <v>46</v>
      </c>
    </row>
    <row r="23" spans="1:19" x14ac:dyDescent="0.25">
      <c r="A23" t="s">
        <v>50</v>
      </c>
      <c r="S23">
        <f t="shared" si="0"/>
        <v>36</v>
      </c>
    </row>
    <row r="24" spans="1:19" x14ac:dyDescent="0.25">
      <c r="A24" t="s">
        <v>51</v>
      </c>
      <c r="S24">
        <f t="shared" si="0"/>
        <v>40</v>
      </c>
    </row>
    <row r="25" spans="1:19" x14ac:dyDescent="0.25">
      <c r="A25" t="s">
        <v>52</v>
      </c>
      <c r="S25">
        <f t="shared" si="0"/>
        <v>34</v>
      </c>
    </row>
    <row r="26" spans="1:19" x14ac:dyDescent="0.25">
      <c r="A26" t="s">
        <v>53</v>
      </c>
      <c r="S26">
        <f t="shared" si="0"/>
        <v>26</v>
      </c>
    </row>
    <row r="27" spans="1:19" x14ac:dyDescent="0.25">
      <c r="A27" t="s">
        <v>54</v>
      </c>
      <c r="S27">
        <f t="shared" si="0"/>
        <v>48</v>
      </c>
    </row>
    <row r="28" spans="1:19" x14ac:dyDescent="0.25">
      <c r="A28" t="s">
        <v>55</v>
      </c>
      <c r="S28">
        <f t="shared" si="0"/>
        <v>32</v>
      </c>
    </row>
    <row r="29" spans="1:19" x14ac:dyDescent="0.25">
      <c r="A29" t="s">
        <v>56</v>
      </c>
      <c r="S29">
        <f t="shared" si="0"/>
        <v>30</v>
      </c>
    </row>
    <row r="30" spans="1:19" x14ac:dyDescent="0.25">
      <c r="A30" t="s">
        <v>57</v>
      </c>
      <c r="S30">
        <f t="shared" si="0"/>
        <v>23</v>
      </c>
    </row>
    <row r="31" spans="1:19" x14ac:dyDescent="0.25">
      <c r="A31" t="s">
        <v>58</v>
      </c>
      <c r="S31">
        <f t="shared" si="0"/>
        <v>33</v>
      </c>
    </row>
    <row r="32" spans="1:19" x14ac:dyDescent="0.25">
      <c r="A32" t="s">
        <v>59</v>
      </c>
      <c r="S32">
        <f t="shared" si="0"/>
        <v>24</v>
      </c>
    </row>
    <row r="33" spans="1:19" x14ac:dyDescent="0.25">
      <c r="A33" t="s">
        <v>60</v>
      </c>
      <c r="S33">
        <f t="shared" si="0"/>
        <v>33</v>
      </c>
    </row>
    <row r="34" spans="1:19" x14ac:dyDescent="0.25">
      <c r="A34" t="s">
        <v>61</v>
      </c>
      <c r="S34">
        <f t="shared" si="0"/>
        <v>29</v>
      </c>
    </row>
    <row r="35" spans="1:19" x14ac:dyDescent="0.25">
      <c r="A35" t="s">
        <v>62</v>
      </c>
      <c r="S35">
        <f t="shared" si="0"/>
        <v>21</v>
      </c>
    </row>
    <row r="36" spans="1:19" x14ac:dyDescent="0.25">
      <c r="A36" t="s">
        <v>63</v>
      </c>
      <c r="S36">
        <f t="shared" si="0"/>
        <v>49</v>
      </c>
    </row>
    <row r="37" spans="1:19" x14ac:dyDescent="0.25">
      <c r="A37" t="s">
        <v>64</v>
      </c>
      <c r="S37">
        <f t="shared" si="0"/>
        <v>37</v>
      </c>
    </row>
    <row r="38" spans="1:19" x14ac:dyDescent="0.25">
      <c r="A38" t="s">
        <v>65</v>
      </c>
      <c r="S38">
        <f t="shared" si="0"/>
        <v>33</v>
      </c>
    </row>
    <row r="39" spans="1:19" x14ac:dyDescent="0.25">
      <c r="A39" t="s">
        <v>66</v>
      </c>
      <c r="S39">
        <f t="shared" si="0"/>
        <v>21</v>
      </c>
    </row>
    <row r="40" spans="1:19" x14ac:dyDescent="0.25">
      <c r="A40" t="s">
        <v>67</v>
      </c>
      <c r="S40">
        <f t="shared" si="0"/>
        <v>23</v>
      </c>
    </row>
    <row r="41" spans="1:19" x14ac:dyDescent="0.25">
      <c r="A41" t="s">
        <v>68</v>
      </c>
      <c r="S41">
        <f t="shared" si="0"/>
        <v>31</v>
      </c>
    </row>
    <row r="42" spans="1:19" x14ac:dyDescent="0.25">
      <c r="A42" t="s">
        <v>69</v>
      </c>
      <c r="S42">
        <f t="shared" si="0"/>
        <v>48</v>
      </c>
    </row>
    <row r="43" spans="1:19" x14ac:dyDescent="0.25">
      <c r="A43" t="s">
        <v>70</v>
      </c>
      <c r="S43">
        <f t="shared" si="0"/>
        <v>43</v>
      </c>
    </row>
    <row r="44" spans="1:19" x14ac:dyDescent="0.25">
      <c r="A44" t="s">
        <v>71</v>
      </c>
      <c r="S44">
        <f t="shared" si="0"/>
        <v>22</v>
      </c>
    </row>
    <row r="45" spans="1:19" x14ac:dyDescent="0.25">
      <c r="A45" t="s">
        <v>72</v>
      </c>
      <c r="S45">
        <f t="shared" si="0"/>
        <v>36</v>
      </c>
    </row>
    <row r="46" spans="1:19" x14ac:dyDescent="0.25">
      <c r="A46" t="s">
        <v>73</v>
      </c>
      <c r="S46">
        <f t="shared" si="0"/>
        <v>85</v>
      </c>
    </row>
    <row r="47" spans="1:19" x14ac:dyDescent="0.25">
      <c r="A47" t="s">
        <v>74</v>
      </c>
      <c r="S47">
        <f t="shared" si="0"/>
        <v>50</v>
      </c>
    </row>
    <row r="48" spans="1:19" x14ac:dyDescent="0.25">
      <c r="A48" t="s">
        <v>75</v>
      </c>
      <c r="S48">
        <f t="shared" si="0"/>
        <v>92</v>
      </c>
    </row>
    <row r="49" spans="1:19" x14ac:dyDescent="0.25">
      <c r="A49" t="s">
        <v>76</v>
      </c>
      <c r="S49">
        <f t="shared" si="0"/>
        <v>23</v>
      </c>
    </row>
    <row r="50" spans="1:19" x14ac:dyDescent="0.25">
      <c r="A50" t="s">
        <v>77</v>
      </c>
      <c r="S50">
        <f t="shared" si="0"/>
        <v>24</v>
      </c>
    </row>
    <row r="51" spans="1:19" x14ac:dyDescent="0.25">
      <c r="A51" t="s">
        <v>78</v>
      </c>
      <c r="S51">
        <f t="shared" si="0"/>
        <v>18</v>
      </c>
    </row>
    <row r="52" spans="1:19" x14ac:dyDescent="0.25">
      <c r="A52" t="s">
        <v>79</v>
      </c>
      <c r="S52">
        <f t="shared" si="0"/>
        <v>56</v>
      </c>
    </row>
    <row r="53" spans="1:19" x14ac:dyDescent="0.25">
      <c r="A53" t="s">
        <v>80</v>
      </c>
      <c r="S53">
        <f t="shared" si="0"/>
        <v>46</v>
      </c>
    </row>
    <row r="54" spans="1:19" x14ac:dyDescent="0.25">
      <c r="A54" t="s">
        <v>81</v>
      </c>
      <c r="S54">
        <f t="shared" si="0"/>
        <v>75</v>
      </c>
    </row>
    <row r="55" spans="1:19" x14ac:dyDescent="0.25">
      <c r="A55" t="s">
        <v>82</v>
      </c>
      <c r="S55">
        <f t="shared" si="0"/>
        <v>39</v>
      </c>
    </row>
    <row r="56" spans="1:19" x14ac:dyDescent="0.25">
      <c r="A56" t="s">
        <v>83</v>
      </c>
      <c r="S56">
        <f t="shared" si="0"/>
        <v>69</v>
      </c>
    </row>
    <row r="57" spans="1:19" x14ac:dyDescent="0.25">
      <c r="A57" t="s">
        <v>84</v>
      </c>
      <c r="S57">
        <f t="shared" si="0"/>
        <v>75</v>
      </c>
    </row>
    <row r="58" spans="1:19" x14ac:dyDescent="0.25">
      <c r="A58" t="s">
        <v>0</v>
      </c>
      <c r="S58">
        <f t="shared" si="0"/>
        <v>29</v>
      </c>
    </row>
    <row r="59" spans="1:19" x14ac:dyDescent="0.25">
      <c r="A59" t="s">
        <v>85</v>
      </c>
      <c r="S59">
        <f t="shared" si="0"/>
        <v>52</v>
      </c>
    </row>
    <row r="60" spans="1:19" x14ac:dyDescent="0.25">
      <c r="A60" t="s">
        <v>86</v>
      </c>
      <c r="S60">
        <f t="shared" si="0"/>
        <v>26</v>
      </c>
    </row>
    <row r="61" spans="1:19" x14ac:dyDescent="0.25">
      <c r="A61" t="s">
        <v>87</v>
      </c>
      <c r="S61">
        <f t="shared" si="0"/>
        <v>59</v>
      </c>
    </row>
    <row r="62" spans="1:19" x14ac:dyDescent="0.25">
      <c r="A62" t="s">
        <v>88</v>
      </c>
      <c r="S62">
        <f t="shared" si="0"/>
        <v>72</v>
      </c>
    </row>
    <row r="63" spans="1:19" x14ac:dyDescent="0.25">
      <c r="A63" t="s">
        <v>89</v>
      </c>
      <c r="S63">
        <f t="shared" si="0"/>
        <v>58</v>
      </c>
    </row>
    <row r="64" spans="1:19" x14ac:dyDescent="0.25">
      <c r="A64" t="s">
        <v>90</v>
      </c>
      <c r="S64">
        <f t="shared" si="0"/>
        <v>73</v>
      </c>
    </row>
    <row r="65" spans="1:19" x14ac:dyDescent="0.25">
      <c r="A65" t="s">
        <v>91</v>
      </c>
      <c r="S65">
        <f t="shared" si="0"/>
        <v>69</v>
      </c>
    </row>
    <row r="66" spans="1:19" x14ac:dyDescent="0.25">
      <c r="A66" t="s">
        <v>92</v>
      </c>
      <c r="S66">
        <f t="shared" ref="S66:S129" si="1">LEN(A66)</f>
        <v>40</v>
      </c>
    </row>
    <row r="67" spans="1:19" x14ac:dyDescent="0.25">
      <c r="A67" t="s">
        <v>93</v>
      </c>
      <c r="S67">
        <f t="shared" si="1"/>
        <v>25</v>
      </c>
    </row>
    <row r="68" spans="1:19" x14ac:dyDescent="0.25">
      <c r="A68" t="s">
        <v>94</v>
      </c>
      <c r="S68">
        <f t="shared" si="1"/>
        <v>24</v>
      </c>
    </row>
    <row r="69" spans="1:19" x14ac:dyDescent="0.25">
      <c r="A69" t="s">
        <v>95</v>
      </c>
      <c r="S69">
        <f t="shared" si="1"/>
        <v>30</v>
      </c>
    </row>
    <row r="70" spans="1:19" x14ac:dyDescent="0.25">
      <c r="A70" t="s">
        <v>96</v>
      </c>
      <c r="S70">
        <f t="shared" si="1"/>
        <v>37</v>
      </c>
    </row>
    <row r="71" spans="1:19" x14ac:dyDescent="0.25">
      <c r="A71" t="s">
        <v>97</v>
      </c>
      <c r="S71">
        <f t="shared" si="1"/>
        <v>23</v>
      </c>
    </row>
    <row r="72" spans="1:19" x14ac:dyDescent="0.25">
      <c r="A72" t="s">
        <v>98</v>
      </c>
      <c r="S72">
        <f t="shared" si="1"/>
        <v>44</v>
      </c>
    </row>
    <row r="73" spans="1:19" x14ac:dyDescent="0.25">
      <c r="A73" t="s">
        <v>99</v>
      </c>
      <c r="S73">
        <f t="shared" si="1"/>
        <v>47</v>
      </c>
    </row>
    <row r="74" spans="1:19" x14ac:dyDescent="0.25">
      <c r="A74" t="s">
        <v>100</v>
      </c>
      <c r="S74">
        <f t="shared" si="1"/>
        <v>37</v>
      </c>
    </row>
    <row r="75" spans="1:19" x14ac:dyDescent="0.25">
      <c r="A75" t="s">
        <v>101</v>
      </c>
      <c r="S75">
        <f t="shared" si="1"/>
        <v>39</v>
      </c>
    </row>
    <row r="76" spans="1:19" x14ac:dyDescent="0.25">
      <c r="A76" t="s">
        <v>102</v>
      </c>
      <c r="S76">
        <f t="shared" si="1"/>
        <v>70</v>
      </c>
    </row>
    <row r="77" spans="1:19" x14ac:dyDescent="0.25">
      <c r="A77" t="s">
        <v>103</v>
      </c>
      <c r="S77">
        <f t="shared" si="1"/>
        <v>62</v>
      </c>
    </row>
    <row r="78" spans="1:19" x14ac:dyDescent="0.25">
      <c r="A78" t="s">
        <v>104</v>
      </c>
      <c r="S78">
        <f t="shared" si="1"/>
        <v>40</v>
      </c>
    </row>
    <row r="79" spans="1:19" x14ac:dyDescent="0.25">
      <c r="A79" t="s">
        <v>105</v>
      </c>
      <c r="S79">
        <f t="shared" si="1"/>
        <v>118</v>
      </c>
    </row>
    <row r="80" spans="1:19" x14ac:dyDescent="0.25">
      <c r="A80" t="s">
        <v>106</v>
      </c>
      <c r="S80">
        <f t="shared" si="1"/>
        <v>70</v>
      </c>
    </row>
    <row r="81" spans="1:19" x14ac:dyDescent="0.25">
      <c r="A81" t="s">
        <v>107</v>
      </c>
      <c r="S81">
        <f t="shared" si="1"/>
        <v>74</v>
      </c>
    </row>
    <row r="82" spans="1:19" x14ac:dyDescent="0.25">
      <c r="A82" t="s">
        <v>108</v>
      </c>
      <c r="S82">
        <f t="shared" si="1"/>
        <v>40</v>
      </c>
    </row>
    <row r="83" spans="1:19" x14ac:dyDescent="0.25">
      <c r="A83" t="s">
        <v>109</v>
      </c>
      <c r="S83">
        <f t="shared" si="1"/>
        <v>50</v>
      </c>
    </row>
    <row r="84" spans="1:19" x14ac:dyDescent="0.25">
      <c r="A84" t="s">
        <v>110</v>
      </c>
      <c r="S84">
        <f t="shared" si="1"/>
        <v>72</v>
      </c>
    </row>
    <row r="85" spans="1:19" x14ac:dyDescent="0.25">
      <c r="A85" t="s">
        <v>111</v>
      </c>
      <c r="S85">
        <f t="shared" si="1"/>
        <v>69</v>
      </c>
    </row>
    <row r="86" spans="1:19" x14ac:dyDescent="0.25">
      <c r="A86" t="s">
        <v>112</v>
      </c>
      <c r="S86">
        <f t="shared" si="1"/>
        <v>45</v>
      </c>
    </row>
    <row r="87" spans="1:19" x14ac:dyDescent="0.25">
      <c r="A87" t="s">
        <v>113</v>
      </c>
      <c r="S87">
        <f t="shared" si="1"/>
        <v>37</v>
      </c>
    </row>
    <row r="88" spans="1:19" x14ac:dyDescent="0.25">
      <c r="A88" t="s">
        <v>114</v>
      </c>
      <c r="S88">
        <f t="shared" si="1"/>
        <v>32</v>
      </c>
    </row>
    <row r="89" spans="1:19" x14ac:dyDescent="0.25">
      <c r="A89" t="s">
        <v>115</v>
      </c>
      <c r="S89">
        <f t="shared" si="1"/>
        <v>51</v>
      </c>
    </row>
    <row r="90" spans="1:19" x14ac:dyDescent="0.25">
      <c r="A90" t="s">
        <v>116</v>
      </c>
      <c r="S90">
        <f t="shared" si="1"/>
        <v>38</v>
      </c>
    </row>
    <row r="91" spans="1:19" x14ac:dyDescent="0.25">
      <c r="A91" t="s">
        <v>117</v>
      </c>
      <c r="S91">
        <f t="shared" si="1"/>
        <v>66</v>
      </c>
    </row>
    <row r="92" spans="1:19" x14ac:dyDescent="0.25">
      <c r="A92" t="s">
        <v>118</v>
      </c>
      <c r="S92">
        <f t="shared" si="1"/>
        <v>69</v>
      </c>
    </row>
    <row r="93" spans="1:19" x14ac:dyDescent="0.25">
      <c r="A93" t="s">
        <v>119</v>
      </c>
      <c r="S93">
        <f t="shared" si="1"/>
        <v>68</v>
      </c>
    </row>
    <row r="94" spans="1:19" x14ac:dyDescent="0.25">
      <c r="A94" t="s">
        <v>120</v>
      </c>
      <c r="S94">
        <f t="shared" si="1"/>
        <v>46</v>
      </c>
    </row>
    <row r="95" spans="1:19" x14ac:dyDescent="0.25">
      <c r="A95" t="s">
        <v>121</v>
      </c>
      <c r="S95">
        <f t="shared" si="1"/>
        <v>67</v>
      </c>
    </row>
    <row r="96" spans="1:19" x14ac:dyDescent="0.25">
      <c r="A96" t="s">
        <v>122</v>
      </c>
      <c r="S96">
        <f t="shared" si="1"/>
        <v>56</v>
      </c>
    </row>
    <row r="97" spans="1:19" x14ac:dyDescent="0.25">
      <c r="A97" t="s">
        <v>123</v>
      </c>
      <c r="S97">
        <f t="shared" si="1"/>
        <v>65</v>
      </c>
    </row>
    <row r="98" spans="1:19" x14ac:dyDescent="0.25">
      <c r="A98" t="s">
        <v>124</v>
      </c>
      <c r="S98">
        <f t="shared" si="1"/>
        <v>79</v>
      </c>
    </row>
    <row r="99" spans="1:19" x14ac:dyDescent="0.25">
      <c r="A99" t="s">
        <v>125</v>
      </c>
      <c r="S99">
        <f t="shared" si="1"/>
        <v>90</v>
      </c>
    </row>
    <row r="100" spans="1:19" x14ac:dyDescent="0.25">
      <c r="A100" t="s">
        <v>1</v>
      </c>
      <c r="S100">
        <f t="shared" si="1"/>
        <v>25</v>
      </c>
    </row>
    <row r="101" spans="1:19" x14ac:dyDescent="0.25">
      <c r="A101" t="s">
        <v>126</v>
      </c>
      <c r="S101">
        <f t="shared" si="1"/>
        <v>68</v>
      </c>
    </row>
    <row r="102" spans="1:19" x14ac:dyDescent="0.25">
      <c r="A102" t="s">
        <v>127</v>
      </c>
      <c r="S102">
        <f t="shared" si="1"/>
        <v>61</v>
      </c>
    </row>
    <row r="103" spans="1:19" x14ac:dyDescent="0.25">
      <c r="A103" t="s">
        <v>128</v>
      </c>
      <c r="S103">
        <f t="shared" si="1"/>
        <v>108</v>
      </c>
    </row>
    <row r="104" spans="1:19" x14ac:dyDescent="0.25">
      <c r="A104" t="s">
        <v>129</v>
      </c>
      <c r="S104">
        <f t="shared" si="1"/>
        <v>66</v>
      </c>
    </row>
    <row r="105" spans="1:19" x14ac:dyDescent="0.25">
      <c r="A105" t="s">
        <v>130</v>
      </c>
      <c r="S105">
        <f t="shared" si="1"/>
        <v>64</v>
      </c>
    </row>
    <row r="106" spans="1:19" x14ac:dyDescent="0.25">
      <c r="A106" t="s">
        <v>131</v>
      </c>
      <c r="S106">
        <f t="shared" si="1"/>
        <v>65</v>
      </c>
    </row>
    <row r="107" spans="1:19" x14ac:dyDescent="0.25">
      <c r="A107" t="s">
        <v>132</v>
      </c>
      <c r="S107">
        <f t="shared" si="1"/>
        <v>35</v>
      </c>
    </row>
    <row r="108" spans="1:19" x14ac:dyDescent="0.25">
      <c r="A108" t="s">
        <v>133</v>
      </c>
      <c r="S108">
        <f t="shared" si="1"/>
        <v>41</v>
      </c>
    </row>
    <row r="109" spans="1:19" x14ac:dyDescent="0.25">
      <c r="A109" t="s">
        <v>134</v>
      </c>
      <c r="S109">
        <f t="shared" si="1"/>
        <v>28</v>
      </c>
    </row>
    <row r="110" spans="1:19" x14ac:dyDescent="0.25">
      <c r="A110" t="s">
        <v>135</v>
      </c>
      <c r="S110">
        <f t="shared" si="1"/>
        <v>25</v>
      </c>
    </row>
    <row r="111" spans="1:19" x14ac:dyDescent="0.25">
      <c r="A111" t="s">
        <v>136</v>
      </c>
      <c r="S111">
        <f t="shared" si="1"/>
        <v>21</v>
      </c>
    </row>
    <row r="112" spans="1:19" x14ac:dyDescent="0.25">
      <c r="A112" t="s">
        <v>137</v>
      </c>
      <c r="S112">
        <f t="shared" si="1"/>
        <v>27</v>
      </c>
    </row>
    <row r="113" spans="1:19" x14ac:dyDescent="0.25">
      <c r="A113" t="s">
        <v>138</v>
      </c>
      <c r="S113">
        <f t="shared" si="1"/>
        <v>20</v>
      </c>
    </row>
    <row r="114" spans="1:19" x14ac:dyDescent="0.25">
      <c r="A114" t="s">
        <v>139</v>
      </c>
      <c r="S114">
        <f t="shared" si="1"/>
        <v>39</v>
      </c>
    </row>
    <row r="115" spans="1:19" x14ac:dyDescent="0.25">
      <c r="A115" t="s">
        <v>140</v>
      </c>
      <c r="S115">
        <f t="shared" si="1"/>
        <v>22</v>
      </c>
    </row>
    <row r="116" spans="1:19" x14ac:dyDescent="0.25">
      <c r="A116" t="s">
        <v>141</v>
      </c>
      <c r="S116">
        <f t="shared" si="1"/>
        <v>41</v>
      </c>
    </row>
    <row r="117" spans="1:19" x14ac:dyDescent="0.25">
      <c r="A117" t="s">
        <v>142</v>
      </c>
      <c r="S117">
        <f t="shared" si="1"/>
        <v>25</v>
      </c>
    </row>
    <row r="118" spans="1:19" x14ac:dyDescent="0.25">
      <c r="A118" t="s">
        <v>143</v>
      </c>
      <c r="S118">
        <f t="shared" si="1"/>
        <v>25</v>
      </c>
    </row>
    <row r="119" spans="1:19" x14ac:dyDescent="0.25">
      <c r="A119" t="s">
        <v>144</v>
      </c>
      <c r="S119">
        <f t="shared" si="1"/>
        <v>52</v>
      </c>
    </row>
    <row r="120" spans="1:19" x14ac:dyDescent="0.25">
      <c r="A120" t="s">
        <v>145</v>
      </c>
      <c r="S120">
        <f t="shared" si="1"/>
        <v>27</v>
      </c>
    </row>
    <row r="121" spans="1:19" x14ac:dyDescent="0.25">
      <c r="A121" t="s">
        <v>146</v>
      </c>
      <c r="S121">
        <f t="shared" si="1"/>
        <v>36</v>
      </c>
    </row>
    <row r="122" spans="1:19" x14ac:dyDescent="0.25">
      <c r="A122" t="s">
        <v>147</v>
      </c>
      <c r="S122">
        <f t="shared" si="1"/>
        <v>31</v>
      </c>
    </row>
    <row r="123" spans="1:19" x14ac:dyDescent="0.25">
      <c r="A123" t="s">
        <v>148</v>
      </c>
      <c r="S123">
        <f t="shared" si="1"/>
        <v>34</v>
      </c>
    </row>
    <row r="124" spans="1:19" x14ac:dyDescent="0.25">
      <c r="A124" t="s">
        <v>149</v>
      </c>
      <c r="S124">
        <f t="shared" si="1"/>
        <v>23</v>
      </c>
    </row>
    <row r="125" spans="1:19" x14ac:dyDescent="0.25">
      <c r="A125" t="s">
        <v>150</v>
      </c>
      <c r="S125">
        <f t="shared" si="1"/>
        <v>36</v>
      </c>
    </row>
    <row r="126" spans="1:19" x14ac:dyDescent="0.25">
      <c r="A126" t="s">
        <v>151</v>
      </c>
      <c r="S126">
        <f t="shared" si="1"/>
        <v>51</v>
      </c>
    </row>
    <row r="127" spans="1:19" x14ac:dyDescent="0.25">
      <c r="A127" t="s">
        <v>152</v>
      </c>
      <c r="S127">
        <f t="shared" si="1"/>
        <v>22</v>
      </c>
    </row>
    <row r="128" spans="1:19" x14ac:dyDescent="0.25">
      <c r="A128" t="s">
        <v>153</v>
      </c>
      <c r="S128">
        <f t="shared" si="1"/>
        <v>23</v>
      </c>
    </row>
    <row r="129" spans="1:19" x14ac:dyDescent="0.25">
      <c r="A129" t="s">
        <v>154</v>
      </c>
      <c r="S129">
        <f t="shared" si="1"/>
        <v>32</v>
      </c>
    </row>
    <row r="130" spans="1:19" x14ac:dyDescent="0.25">
      <c r="A130" t="s">
        <v>155</v>
      </c>
      <c r="S130">
        <f t="shared" ref="S130:S193" si="2">LEN(A130)</f>
        <v>21</v>
      </c>
    </row>
    <row r="131" spans="1:19" x14ac:dyDescent="0.25">
      <c r="A131" t="s">
        <v>156</v>
      </c>
      <c r="S131">
        <f t="shared" si="2"/>
        <v>38</v>
      </c>
    </row>
    <row r="132" spans="1:19" x14ac:dyDescent="0.25">
      <c r="A132" t="s">
        <v>157</v>
      </c>
      <c r="S132">
        <f t="shared" si="2"/>
        <v>64</v>
      </c>
    </row>
    <row r="133" spans="1:19" x14ac:dyDescent="0.25">
      <c r="A133" t="s">
        <v>158</v>
      </c>
      <c r="S133">
        <f t="shared" si="2"/>
        <v>34</v>
      </c>
    </row>
    <row r="134" spans="1:19" x14ac:dyDescent="0.25">
      <c r="A134" t="s">
        <v>159</v>
      </c>
      <c r="S134">
        <f t="shared" si="2"/>
        <v>44</v>
      </c>
    </row>
    <row r="135" spans="1:19" x14ac:dyDescent="0.25">
      <c r="A135" t="s">
        <v>160</v>
      </c>
      <c r="S135">
        <f t="shared" si="2"/>
        <v>86</v>
      </c>
    </row>
    <row r="136" spans="1:19" x14ac:dyDescent="0.25">
      <c r="A136" t="s">
        <v>161</v>
      </c>
      <c r="S136">
        <f t="shared" si="2"/>
        <v>22</v>
      </c>
    </row>
    <row r="137" spans="1:19" x14ac:dyDescent="0.25">
      <c r="A137" t="s">
        <v>162</v>
      </c>
      <c r="S137">
        <f t="shared" si="2"/>
        <v>64</v>
      </c>
    </row>
    <row r="138" spans="1:19" x14ac:dyDescent="0.25">
      <c r="A138" t="s">
        <v>163</v>
      </c>
      <c r="S138">
        <f t="shared" si="2"/>
        <v>72</v>
      </c>
    </row>
    <row r="139" spans="1:19" x14ac:dyDescent="0.25">
      <c r="A139" t="s">
        <v>164</v>
      </c>
      <c r="S139">
        <f t="shared" si="2"/>
        <v>93</v>
      </c>
    </row>
    <row r="140" spans="1:19" x14ac:dyDescent="0.25">
      <c r="A140" t="s">
        <v>165</v>
      </c>
      <c r="S140">
        <f t="shared" si="2"/>
        <v>43</v>
      </c>
    </row>
    <row r="141" spans="1:19" x14ac:dyDescent="0.25">
      <c r="A141" t="s">
        <v>166</v>
      </c>
      <c r="S141">
        <f t="shared" si="2"/>
        <v>78</v>
      </c>
    </row>
    <row r="142" spans="1:19" x14ac:dyDescent="0.25">
      <c r="A142" t="s">
        <v>167</v>
      </c>
      <c r="S142">
        <f t="shared" si="2"/>
        <v>37</v>
      </c>
    </row>
    <row r="143" spans="1:19" x14ac:dyDescent="0.25">
      <c r="A143" t="s">
        <v>168</v>
      </c>
      <c r="S143">
        <f t="shared" si="2"/>
        <v>52</v>
      </c>
    </row>
    <row r="144" spans="1:19" x14ac:dyDescent="0.25">
      <c r="A144" t="s">
        <v>169</v>
      </c>
      <c r="S144">
        <f t="shared" si="2"/>
        <v>64</v>
      </c>
    </row>
    <row r="145" spans="1:19" x14ac:dyDescent="0.25">
      <c r="A145" t="s">
        <v>170</v>
      </c>
      <c r="S145">
        <f t="shared" si="2"/>
        <v>35</v>
      </c>
    </row>
    <row r="146" spans="1:19" x14ac:dyDescent="0.25">
      <c r="A146" t="s">
        <v>171</v>
      </c>
      <c r="S146">
        <f t="shared" si="2"/>
        <v>54</v>
      </c>
    </row>
    <row r="147" spans="1:19" x14ac:dyDescent="0.25">
      <c r="A147" t="s">
        <v>172</v>
      </c>
      <c r="S147">
        <f t="shared" si="2"/>
        <v>75</v>
      </c>
    </row>
    <row r="148" spans="1:19" x14ac:dyDescent="0.25">
      <c r="A148" t="s">
        <v>173</v>
      </c>
      <c r="S148">
        <f t="shared" si="2"/>
        <v>69</v>
      </c>
    </row>
    <row r="149" spans="1:19" x14ac:dyDescent="0.25">
      <c r="A149" t="s">
        <v>174</v>
      </c>
      <c r="S149">
        <f t="shared" si="2"/>
        <v>33</v>
      </c>
    </row>
    <row r="150" spans="1:19" x14ac:dyDescent="0.25">
      <c r="A150" t="s">
        <v>175</v>
      </c>
      <c r="S150">
        <f t="shared" si="2"/>
        <v>35</v>
      </c>
    </row>
    <row r="151" spans="1:19" x14ac:dyDescent="0.25">
      <c r="A151" t="s">
        <v>176</v>
      </c>
      <c r="S151">
        <f t="shared" si="2"/>
        <v>39</v>
      </c>
    </row>
    <row r="152" spans="1:19" x14ac:dyDescent="0.25">
      <c r="A152" t="s">
        <v>177</v>
      </c>
      <c r="S152">
        <f t="shared" si="2"/>
        <v>34</v>
      </c>
    </row>
    <row r="153" spans="1:19" x14ac:dyDescent="0.25">
      <c r="A153" t="s">
        <v>178</v>
      </c>
      <c r="S153">
        <f t="shared" si="2"/>
        <v>40</v>
      </c>
    </row>
    <row r="154" spans="1:19" x14ac:dyDescent="0.25">
      <c r="A154" t="s">
        <v>179</v>
      </c>
      <c r="S154">
        <f t="shared" si="2"/>
        <v>41</v>
      </c>
    </row>
    <row r="155" spans="1:19" x14ac:dyDescent="0.25">
      <c r="A155" t="s">
        <v>180</v>
      </c>
      <c r="S155">
        <f t="shared" si="2"/>
        <v>67</v>
      </c>
    </row>
    <row r="156" spans="1:19" x14ac:dyDescent="0.25">
      <c r="A156" t="s">
        <v>181</v>
      </c>
      <c r="S156">
        <f t="shared" si="2"/>
        <v>78</v>
      </c>
    </row>
    <row r="157" spans="1:19" x14ac:dyDescent="0.25">
      <c r="A157" t="s">
        <v>182</v>
      </c>
      <c r="S157">
        <f t="shared" si="2"/>
        <v>41</v>
      </c>
    </row>
    <row r="158" spans="1:19" x14ac:dyDescent="0.25">
      <c r="A158" t="s">
        <v>183</v>
      </c>
      <c r="S158">
        <f t="shared" si="2"/>
        <v>64</v>
      </c>
    </row>
    <row r="159" spans="1:19" x14ac:dyDescent="0.25">
      <c r="A159" t="s">
        <v>184</v>
      </c>
      <c r="S159">
        <f t="shared" si="2"/>
        <v>39</v>
      </c>
    </row>
    <row r="160" spans="1:19" x14ac:dyDescent="0.25">
      <c r="A160" t="s">
        <v>185</v>
      </c>
      <c r="S160">
        <f t="shared" si="2"/>
        <v>89</v>
      </c>
    </row>
    <row r="161" spans="1:19" x14ac:dyDescent="0.25">
      <c r="A161" t="s">
        <v>186</v>
      </c>
      <c r="S161">
        <f t="shared" si="2"/>
        <v>40</v>
      </c>
    </row>
    <row r="162" spans="1:19" x14ac:dyDescent="0.25">
      <c r="A162" t="s">
        <v>187</v>
      </c>
      <c r="S162">
        <f t="shared" si="2"/>
        <v>60</v>
      </c>
    </row>
    <row r="163" spans="1:19" x14ac:dyDescent="0.25">
      <c r="A163" t="s">
        <v>188</v>
      </c>
      <c r="S163">
        <f t="shared" si="2"/>
        <v>20</v>
      </c>
    </row>
    <row r="164" spans="1:19" x14ac:dyDescent="0.25">
      <c r="A164" t="s">
        <v>189</v>
      </c>
      <c r="S164">
        <f t="shared" si="2"/>
        <v>60</v>
      </c>
    </row>
    <row r="165" spans="1:19" x14ac:dyDescent="0.25">
      <c r="A165" t="s">
        <v>190</v>
      </c>
      <c r="S165">
        <f t="shared" si="2"/>
        <v>47</v>
      </c>
    </row>
    <row r="166" spans="1:19" x14ac:dyDescent="0.25">
      <c r="A166" t="s">
        <v>191</v>
      </c>
      <c r="S166">
        <f t="shared" si="2"/>
        <v>88</v>
      </c>
    </row>
    <row r="167" spans="1:19" x14ac:dyDescent="0.25">
      <c r="A167" t="s">
        <v>192</v>
      </c>
      <c r="S167">
        <f t="shared" si="2"/>
        <v>70</v>
      </c>
    </row>
    <row r="168" spans="1:19" x14ac:dyDescent="0.25">
      <c r="A168" t="s">
        <v>193</v>
      </c>
      <c r="S168">
        <f t="shared" si="2"/>
        <v>49</v>
      </c>
    </row>
    <row r="169" spans="1:19" x14ac:dyDescent="0.25">
      <c r="A169" t="s">
        <v>194</v>
      </c>
      <c r="S169">
        <f t="shared" si="2"/>
        <v>45</v>
      </c>
    </row>
    <row r="170" spans="1:19" x14ac:dyDescent="0.25">
      <c r="A170" t="s">
        <v>195</v>
      </c>
      <c r="S170">
        <f t="shared" si="2"/>
        <v>63</v>
      </c>
    </row>
    <row r="171" spans="1:19" x14ac:dyDescent="0.25">
      <c r="A171" t="s">
        <v>196</v>
      </c>
      <c r="S171">
        <f t="shared" si="2"/>
        <v>56</v>
      </c>
    </row>
    <row r="172" spans="1:19" x14ac:dyDescent="0.25">
      <c r="A172" t="s">
        <v>197</v>
      </c>
      <c r="S172">
        <f t="shared" si="2"/>
        <v>92</v>
      </c>
    </row>
    <row r="173" spans="1:19" x14ac:dyDescent="0.25">
      <c r="A173" t="s">
        <v>198</v>
      </c>
      <c r="S173">
        <f t="shared" si="2"/>
        <v>41</v>
      </c>
    </row>
    <row r="174" spans="1:19" x14ac:dyDescent="0.25">
      <c r="A174" t="s">
        <v>199</v>
      </c>
      <c r="S174">
        <f t="shared" si="2"/>
        <v>55</v>
      </c>
    </row>
    <row r="175" spans="1:19" x14ac:dyDescent="0.25">
      <c r="A175" t="s">
        <v>200</v>
      </c>
      <c r="S175">
        <f t="shared" si="2"/>
        <v>69</v>
      </c>
    </row>
    <row r="176" spans="1:19" x14ac:dyDescent="0.25">
      <c r="A176" t="s">
        <v>201</v>
      </c>
      <c r="S176">
        <f t="shared" si="2"/>
        <v>66</v>
      </c>
    </row>
    <row r="177" spans="1:19" x14ac:dyDescent="0.25">
      <c r="A177" t="s">
        <v>202</v>
      </c>
      <c r="S177">
        <f t="shared" si="2"/>
        <v>21</v>
      </c>
    </row>
    <row r="178" spans="1:19" x14ac:dyDescent="0.25">
      <c r="A178" t="s">
        <v>203</v>
      </c>
      <c r="S178">
        <f t="shared" si="2"/>
        <v>22</v>
      </c>
    </row>
    <row r="179" spans="1:19" x14ac:dyDescent="0.25">
      <c r="A179" t="s">
        <v>204</v>
      </c>
      <c r="S179">
        <f t="shared" si="2"/>
        <v>19</v>
      </c>
    </row>
    <row r="180" spans="1:19" x14ac:dyDescent="0.25">
      <c r="A180" t="s">
        <v>205</v>
      </c>
      <c r="S180">
        <f t="shared" si="2"/>
        <v>48</v>
      </c>
    </row>
    <row r="181" spans="1:19" x14ac:dyDescent="0.25">
      <c r="A181" t="s">
        <v>206</v>
      </c>
      <c r="S181">
        <f t="shared" si="2"/>
        <v>24</v>
      </c>
    </row>
    <row r="182" spans="1:19" x14ac:dyDescent="0.25">
      <c r="A182" t="s">
        <v>207</v>
      </c>
      <c r="S182">
        <f t="shared" si="2"/>
        <v>47</v>
      </c>
    </row>
    <row r="183" spans="1:19" x14ac:dyDescent="0.25">
      <c r="A183" t="s">
        <v>208</v>
      </c>
      <c r="S183">
        <f t="shared" si="2"/>
        <v>86</v>
      </c>
    </row>
    <row r="184" spans="1:19" x14ac:dyDescent="0.25">
      <c r="A184" t="s">
        <v>209</v>
      </c>
      <c r="S184">
        <f t="shared" si="2"/>
        <v>19</v>
      </c>
    </row>
    <row r="185" spans="1:19" x14ac:dyDescent="0.25">
      <c r="A185" t="s">
        <v>210</v>
      </c>
      <c r="S185">
        <f t="shared" si="2"/>
        <v>64</v>
      </c>
    </row>
    <row r="186" spans="1:19" x14ac:dyDescent="0.25">
      <c r="A186" t="s">
        <v>211</v>
      </c>
      <c r="S186">
        <f t="shared" si="2"/>
        <v>113</v>
      </c>
    </row>
    <row r="187" spans="1:19" x14ac:dyDescent="0.25">
      <c r="A187" t="s">
        <v>212</v>
      </c>
      <c r="S187">
        <f t="shared" si="2"/>
        <v>63</v>
      </c>
    </row>
    <row r="188" spans="1:19" x14ac:dyDescent="0.25">
      <c r="A188" t="s">
        <v>213</v>
      </c>
      <c r="S188">
        <f t="shared" si="2"/>
        <v>79</v>
      </c>
    </row>
    <row r="189" spans="1:19" x14ac:dyDescent="0.25">
      <c r="A189" t="s">
        <v>214</v>
      </c>
      <c r="S189">
        <f t="shared" si="2"/>
        <v>44</v>
      </c>
    </row>
    <row r="190" spans="1:19" x14ac:dyDescent="0.25">
      <c r="A190" t="s">
        <v>215</v>
      </c>
      <c r="S190">
        <f t="shared" si="2"/>
        <v>69</v>
      </c>
    </row>
    <row r="191" spans="1:19" x14ac:dyDescent="0.25">
      <c r="A191" t="s">
        <v>216</v>
      </c>
      <c r="S191">
        <f t="shared" si="2"/>
        <v>51</v>
      </c>
    </row>
    <row r="192" spans="1:19" x14ac:dyDescent="0.25">
      <c r="A192" t="s">
        <v>217</v>
      </c>
      <c r="S192">
        <f t="shared" si="2"/>
        <v>72</v>
      </c>
    </row>
    <row r="193" spans="1:19" x14ac:dyDescent="0.25">
      <c r="A193" t="s">
        <v>218</v>
      </c>
      <c r="S193">
        <f t="shared" si="2"/>
        <v>43</v>
      </c>
    </row>
    <row r="194" spans="1:19" x14ac:dyDescent="0.25">
      <c r="A194" t="s">
        <v>219</v>
      </c>
      <c r="S194">
        <f t="shared" ref="S194:S257" si="3">LEN(A194)</f>
        <v>56</v>
      </c>
    </row>
    <row r="195" spans="1:19" x14ac:dyDescent="0.25">
      <c r="A195" t="s">
        <v>220</v>
      </c>
      <c r="S195">
        <f t="shared" si="3"/>
        <v>41</v>
      </c>
    </row>
    <row r="196" spans="1:19" x14ac:dyDescent="0.25">
      <c r="A196" t="s">
        <v>221</v>
      </c>
      <c r="S196">
        <f t="shared" si="3"/>
        <v>61</v>
      </c>
    </row>
    <row r="197" spans="1:19" x14ac:dyDescent="0.25">
      <c r="A197" t="s">
        <v>222</v>
      </c>
      <c r="S197">
        <f t="shared" si="3"/>
        <v>40</v>
      </c>
    </row>
    <row r="198" spans="1:19" x14ac:dyDescent="0.25">
      <c r="A198" t="s">
        <v>223</v>
      </c>
      <c r="S198">
        <f t="shared" si="3"/>
        <v>64</v>
      </c>
    </row>
    <row r="199" spans="1:19" x14ac:dyDescent="0.25">
      <c r="A199" t="s">
        <v>224</v>
      </c>
      <c r="S199">
        <f t="shared" si="3"/>
        <v>20</v>
      </c>
    </row>
    <row r="200" spans="1:19" x14ac:dyDescent="0.25">
      <c r="A200" t="s">
        <v>225</v>
      </c>
      <c r="S200">
        <f t="shared" si="3"/>
        <v>33</v>
      </c>
    </row>
    <row r="201" spans="1:19" x14ac:dyDescent="0.25">
      <c r="A201" t="s">
        <v>226</v>
      </c>
      <c r="S201">
        <f t="shared" si="3"/>
        <v>60</v>
      </c>
    </row>
    <row r="202" spans="1:19" x14ac:dyDescent="0.25">
      <c r="A202" t="s">
        <v>227</v>
      </c>
      <c r="S202">
        <f t="shared" si="3"/>
        <v>53</v>
      </c>
    </row>
    <row r="203" spans="1:19" x14ac:dyDescent="0.25">
      <c r="A203" t="s">
        <v>228</v>
      </c>
      <c r="S203">
        <f t="shared" si="3"/>
        <v>68</v>
      </c>
    </row>
    <row r="204" spans="1:19" x14ac:dyDescent="0.25">
      <c r="A204" t="s">
        <v>229</v>
      </c>
      <c r="S204">
        <f t="shared" si="3"/>
        <v>28</v>
      </c>
    </row>
    <row r="205" spans="1:19" x14ac:dyDescent="0.25">
      <c r="A205" t="s">
        <v>230</v>
      </c>
      <c r="S205">
        <f t="shared" si="3"/>
        <v>42</v>
      </c>
    </row>
    <row r="206" spans="1:19" x14ac:dyDescent="0.25">
      <c r="A206" t="s">
        <v>231</v>
      </c>
      <c r="S206">
        <f t="shared" si="3"/>
        <v>51</v>
      </c>
    </row>
    <row r="207" spans="1:19" x14ac:dyDescent="0.25">
      <c r="A207" t="s">
        <v>232</v>
      </c>
      <c r="S207">
        <f t="shared" si="3"/>
        <v>61</v>
      </c>
    </row>
    <row r="208" spans="1:19" x14ac:dyDescent="0.25">
      <c r="A208" t="s">
        <v>233</v>
      </c>
      <c r="S208">
        <f t="shared" si="3"/>
        <v>42</v>
      </c>
    </row>
    <row r="209" spans="1:19" x14ac:dyDescent="0.25">
      <c r="A209" t="s">
        <v>234</v>
      </c>
      <c r="S209">
        <f t="shared" si="3"/>
        <v>40</v>
      </c>
    </row>
    <row r="210" spans="1:19" x14ac:dyDescent="0.25">
      <c r="A210" t="s">
        <v>235</v>
      </c>
      <c r="S210">
        <f t="shared" si="3"/>
        <v>94</v>
      </c>
    </row>
    <row r="211" spans="1:19" x14ac:dyDescent="0.25">
      <c r="A211" t="s">
        <v>236</v>
      </c>
      <c r="S211">
        <f t="shared" si="3"/>
        <v>43</v>
      </c>
    </row>
    <row r="212" spans="1:19" x14ac:dyDescent="0.25">
      <c r="A212" t="s">
        <v>237</v>
      </c>
      <c r="S212">
        <f t="shared" si="3"/>
        <v>98</v>
      </c>
    </row>
    <row r="213" spans="1:19" x14ac:dyDescent="0.25">
      <c r="A213" t="s">
        <v>238</v>
      </c>
      <c r="S213">
        <f t="shared" si="3"/>
        <v>106</v>
      </c>
    </row>
    <row r="214" spans="1:19" x14ac:dyDescent="0.25">
      <c r="A214" t="s">
        <v>239</v>
      </c>
      <c r="S214">
        <f t="shared" si="3"/>
        <v>76</v>
      </c>
    </row>
    <row r="215" spans="1:19" x14ac:dyDescent="0.25">
      <c r="A215" t="s">
        <v>240</v>
      </c>
      <c r="S215">
        <f t="shared" si="3"/>
        <v>33</v>
      </c>
    </row>
    <row r="216" spans="1:19" x14ac:dyDescent="0.25">
      <c r="A216" t="s">
        <v>241</v>
      </c>
      <c r="S216">
        <f t="shared" si="3"/>
        <v>36</v>
      </c>
    </row>
    <row r="217" spans="1:19" x14ac:dyDescent="0.25">
      <c r="A217" t="s">
        <v>242</v>
      </c>
      <c r="S217">
        <f t="shared" si="3"/>
        <v>19</v>
      </c>
    </row>
    <row r="218" spans="1:19" x14ac:dyDescent="0.25">
      <c r="A218" t="s">
        <v>243</v>
      </c>
      <c r="S218">
        <f t="shared" si="3"/>
        <v>60</v>
      </c>
    </row>
    <row r="219" spans="1:19" x14ac:dyDescent="0.25">
      <c r="A219" t="s">
        <v>244</v>
      </c>
      <c r="S219">
        <f t="shared" si="3"/>
        <v>27</v>
      </c>
    </row>
    <row r="220" spans="1:19" x14ac:dyDescent="0.25">
      <c r="A220" t="s">
        <v>245</v>
      </c>
      <c r="S220">
        <f t="shared" si="3"/>
        <v>40</v>
      </c>
    </row>
    <row r="221" spans="1:19" x14ac:dyDescent="0.25">
      <c r="A221" t="s">
        <v>246</v>
      </c>
      <c r="S221">
        <f t="shared" si="3"/>
        <v>69</v>
      </c>
    </row>
    <row r="222" spans="1:19" x14ac:dyDescent="0.25">
      <c r="A222" t="s">
        <v>247</v>
      </c>
      <c r="S222">
        <f t="shared" si="3"/>
        <v>45</v>
      </c>
    </row>
    <row r="223" spans="1:19" x14ac:dyDescent="0.25">
      <c r="A223" t="s">
        <v>248</v>
      </c>
      <c r="S223">
        <f t="shared" si="3"/>
        <v>44</v>
      </c>
    </row>
    <row r="224" spans="1:19" x14ac:dyDescent="0.25">
      <c r="A224" t="s">
        <v>249</v>
      </c>
      <c r="S224">
        <f t="shared" si="3"/>
        <v>59</v>
      </c>
    </row>
    <row r="225" spans="1:19" x14ac:dyDescent="0.25">
      <c r="A225" t="s">
        <v>250</v>
      </c>
      <c r="S225">
        <f t="shared" si="3"/>
        <v>39</v>
      </c>
    </row>
    <row r="226" spans="1:19" x14ac:dyDescent="0.25">
      <c r="A226" t="s">
        <v>251</v>
      </c>
      <c r="S226">
        <f t="shared" si="3"/>
        <v>60</v>
      </c>
    </row>
    <row r="227" spans="1:19" x14ac:dyDescent="0.25">
      <c r="A227" t="s">
        <v>252</v>
      </c>
      <c r="S227">
        <f t="shared" si="3"/>
        <v>40</v>
      </c>
    </row>
    <row r="228" spans="1:19" x14ac:dyDescent="0.25">
      <c r="A228" t="s">
        <v>253</v>
      </c>
      <c r="S228">
        <f t="shared" si="3"/>
        <v>71</v>
      </c>
    </row>
    <row r="229" spans="1:19" x14ac:dyDescent="0.25">
      <c r="A229" t="s">
        <v>254</v>
      </c>
      <c r="S229">
        <f t="shared" si="3"/>
        <v>65</v>
      </c>
    </row>
    <row r="230" spans="1:19" x14ac:dyDescent="0.25">
      <c r="A230" t="s">
        <v>255</v>
      </c>
      <c r="S230">
        <f t="shared" si="3"/>
        <v>44</v>
      </c>
    </row>
    <row r="231" spans="1:19" x14ac:dyDescent="0.25">
      <c r="A231" t="s">
        <v>256</v>
      </c>
      <c r="S231">
        <f t="shared" si="3"/>
        <v>50</v>
      </c>
    </row>
    <row r="232" spans="1:19" x14ac:dyDescent="0.25">
      <c r="A232" t="s">
        <v>257</v>
      </c>
      <c r="S232">
        <f t="shared" si="3"/>
        <v>77</v>
      </c>
    </row>
    <row r="233" spans="1:19" x14ac:dyDescent="0.25">
      <c r="A233" t="s">
        <v>258</v>
      </c>
      <c r="S233">
        <f t="shared" si="3"/>
        <v>48</v>
      </c>
    </row>
    <row r="234" spans="1:19" x14ac:dyDescent="0.25">
      <c r="A234" t="s">
        <v>259</v>
      </c>
      <c r="S234">
        <f t="shared" si="3"/>
        <v>46</v>
      </c>
    </row>
    <row r="235" spans="1:19" x14ac:dyDescent="0.25">
      <c r="A235" t="s">
        <v>260</v>
      </c>
      <c r="S235">
        <f t="shared" si="3"/>
        <v>73</v>
      </c>
    </row>
    <row r="236" spans="1:19" x14ac:dyDescent="0.25">
      <c r="A236" t="s">
        <v>261</v>
      </c>
      <c r="S236">
        <f t="shared" si="3"/>
        <v>36</v>
      </c>
    </row>
    <row r="237" spans="1:19" x14ac:dyDescent="0.25">
      <c r="A237" t="s">
        <v>262</v>
      </c>
      <c r="S237">
        <f t="shared" si="3"/>
        <v>19</v>
      </c>
    </row>
    <row r="238" spans="1:19" x14ac:dyDescent="0.25">
      <c r="A238" t="s">
        <v>263</v>
      </c>
      <c r="S238">
        <f t="shared" si="3"/>
        <v>43</v>
      </c>
    </row>
    <row r="239" spans="1:19" x14ac:dyDescent="0.25">
      <c r="A239" t="s">
        <v>264</v>
      </c>
      <c r="S239">
        <f t="shared" si="3"/>
        <v>25</v>
      </c>
    </row>
    <row r="240" spans="1:19" x14ac:dyDescent="0.25">
      <c r="A240" t="s">
        <v>265</v>
      </c>
      <c r="S240">
        <f t="shared" si="3"/>
        <v>45</v>
      </c>
    </row>
    <row r="241" spans="1:19" x14ac:dyDescent="0.25">
      <c r="A241" t="s">
        <v>266</v>
      </c>
      <c r="S241">
        <f t="shared" si="3"/>
        <v>62</v>
      </c>
    </row>
    <row r="242" spans="1:19" x14ac:dyDescent="0.25">
      <c r="A242" t="s">
        <v>267</v>
      </c>
      <c r="S242">
        <f t="shared" si="3"/>
        <v>45</v>
      </c>
    </row>
    <row r="243" spans="1:19" x14ac:dyDescent="0.25">
      <c r="A243" t="s">
        <v>268</v>
      </c>
      <c r="S243">
        <f t="shared" si="3"/>
        <v>44</v>
      </c>
    </row>
    <row r="244" spans="1:19" x14ac:dyDescent="0.25">
      <c r="A244" t="s">
        <v>269</v>
      </c>
      <c r="S244">
        <f t="shared" si="3"/>
        <v>22</v>
      </c>
    </row>
    <row r="245" spans="1:19" x14ac:dyDescent="0.25">
      <c r="A245" t="s">
        <v>270</v>
      </c>
      <c r="S245">
        <f t="shared" si="3"/>
        <v>63</v>
      </c>
    </row>
    <row r="246" spans="1:19" x14ac:dyDescent="0.25">
      <c r="A246" t="s">
        <v>271</v>
      </c>
      <c r="S246">
        <f t="shared" si="3"/>
        <v>57</v>
      </c>
    </row>
    <row r="247" spans="1:19" x14ac:dyDescent="0.25">
      <c r="A247" t="s">
        <v>272</v>
      </c>
      <c r="S247">
        <f t="shared" si="3"/>
        <v>77</v>
      </c>
    </row>
    <row r="248" spans="1:19" x14ac:dyDescent="0.25">
      <c r="A248" t="s">
        <v>273</v>
      </c>
      <c r="S248">
        <f t="shared" si="3"/>
        <v>85</v>
      </c>
    </row>
    <row r="249" spans="1:19" x14ac:dyDescent="0.25">
      <c r="A249" t="s">
        <v>274</v>
      </c>
      <c r="S249">
        <f t="shared" si="3"/>
        <v>49</v>
      </c>
    </row>
    <row r="250" spans="1:19" x14ac:dyDescent="0.25">
      <c r="A250" t="s">
        <v>275</v>
      </c>
      <c r="S250">
        <f t="shared" si="3"/>
        <v>58</v>
      </c>
    </row>
    <row r="251" spans="1:19" x14ac:dyDescent="0.25">
      <c r="A251" t="s">
        <v>276</v>
      </c>
      <c r="S251">
        <f t="shared" si="3"/>
        <v>53</v>
      </c>
    </row>
    <row r="252" spans="1:19" x14ac:dyDescent="0.25">
      <c r="A252" t="s">
        <v>277</v>
      </c>
      <c r="S252">
        <f t="shared" si="3"/>
        <v>68</v>
      </c>
    </row>
    <row r="253" spans="1:19" x14ac:dyDescent="0.25">
      <c r="A253" t="s">
        <v>278</v>
      </c>
      <c r="S253">
        <f t="shared" si="3"/>
        <v>46</v>
      </c>
    </row>
    <row r="254" spans="1:19" x14ac:dyDescent="0.25">
      <c r="A254" t="s">
        <v>279</v>
      </c>
      <c r="S254">
        <f t="shared" si="3"/>
        <v>66</v>
      </c>
    </row>
    <row r="255" spans="1:19" x14ac:dyDescent="0.25">
      <c r="A255" t="s">
        <v>280</v>
      </c>
      <c r="S255">
        <f t="shared" si="3"/>
        <v>56</v>
      </c>
    </row>
    <row r="256" spans="1:19" x14ac:dyDescent="0.25">
      <c r="A256" t="s">
        <v>281</v>
      </c>
      <c r="S256">
        <f t="shared" si="3"/>
        <v>58</v>
      </c>
    </row>
    <row r="257" spans="1:19" x14ac:dyDescent="0.25">
      <c r="A257" t="s">
        <v>282</v>
      </c>
      <c r="S257">
        <f t="shared" si="3"/>
        <v>68</v>
      </c>
    </row>
    <row r="258" spans="1:19" x14ac:dyDescent="0.25">
      <c r="A258" t="s">
        <v>283</v>
      </c>
      <c r="S258">
        <f t="shared" ref="S258:S321" si="4">LEN(A258)</f>
        <v>43</v>
      </c>
    </row>
    <row r="259" spans="1:19" x14ac:dyDescent="0.25">
      <c r="A259" t="s">
        <v>284</v>
      </c>
      <c r="S259">
        <f t="shared" si="4"/>
        <v>45</v>
      </c>
    </row>
    <row r="260" spans="1:19" x14ac:dyDescent="0.25">
      <c r="A260" t="s">
        <v>285</v>
      </c>
      <c r="S260">
        <f t="shared" si="4"/>
        <v>57</v>
      </c>
    </row>
    <row r="261" spans="1:19" x14ac:dyDescent="0.25">
      <c r="A261" t="s">
        <v>286</v>
      </c>
      <c r="S261">
        <f t="shared" si="4"/>
        <v>83</v>
      </c>
    </row>
    <row r="262" spans="1:19" x14ac:dyDescent="0.25">
      <c r="A262" t="s">
        <v>287</v>
      </c>
      <c r="S262">
        <f t="shared" si="4"/>
        <v>65</v>
      </c>
    </row>
    <row r="263" spans="1:19" x14ac:dyDescent="0.25">
      <c r="A263" t="s">
        <v>288</v>
      </c>
      <c r="S263">
        <f t="shared" si="4"/>
        <v>41</v>
      </c>
    </row>
    <row r="264" spans="1:19" x14ac:dyDescent="0.25">
      <c r="A264" t="s">
        <v>289</v>
      </c>
      <c r="S264">
        <f t="shared" si="4"/>
        <v>43</v>
      </c>
    </row>
    <row r="265" spans="1:19" x14ac:dyDescent="0.25">
      <c r="A265" t="s">
        <v>290</v>
      </c>
      <c r="S265">
        <f t="shared" si="4"/>
        <v>43</v>
      </c>
    </row>
    <row r="266" spans="1:19" x14ac:dyDescent="0.25">
      <c r="A266" t="s">
        <v>291</v>
      </c>
      <c r="S266">
        <f t="shared" si="4"/>
        <v>47</v>
      </c>
    </row>
    <row r="267" spans="1:19" x14ac:dyDescent="0.25">
      <c r="A267" t="s">
        <v>292</v>
      </c>
      <c r="S267">
        <f t="shared" si="4"/>
        <v>65</v>
      </c>
    </row>
    <row r="268" spans="1:19" x14ac:dyDescent="0.25">
      <c r="A268" t="s">
        <v>293</v>
      </c>
      <c r="S268">
        <f t="shared" si="4"/>
        <v>61</v>
      </c>
    </row>
    <row r="269" spans="1:19" x14ac:dyDescent="0.25">
      <c r="A269" t="s">
        <v>294</v>
      </c>
      <c r="S269">
        <f t="shared" si="4"/>
        <v>28</v>
      </c>
    </row>
    <row r="270" spans="1:19" x14ac:dyDescent="0.25">
      <c r="A270" t="s">
        <v>295</v>
      </c>
      <c r="S270">
        <f t="shared" si="4"/>
        <v>41</v>
      </c>
    </row>
    <row r="271" spans="1:19" x14ac:dyDescent="0.25">
      <c r="A271" t="s">
        <v>296</v>
      </c>
      <c r="S271">
        <f t="shared" si="4"/>
        <v>76</v>
      </c>
    </row>
    <row r="272" spans="1:19" x14ac:dyDescent="0.25">
      <c r="A272" t="s">
        <v>297</v>
      </c>
      <c r="S272">
        <f t="shared" si="4"/>
        <v>93</v>
      </c>
    </row>
    <row r="273" spans="1:19" x14ac:dyDescent="0.25">
      <c r="A273" t="s">
        <v>298</v>
      </c>
      <c r="S273">
        <f t="shared" si="4"/>
        <v>46</v>
      </c>
    </row>
    <row r="274" spans="1:19" x14ac:dyDescent="0.25">
      <c r="A274" t="s">
        <v>299</v>
      </c>
      <c r="S274">
        <f t="shared" si="4"/>
        <v>59</v>
      </c>
    </row>
    <row r="275" spans="1:19" x14ac:dyDescent="0.25">
      <c r="A275" t="s">
        <v>300</v>
      </c>
      <c r="S275">
        <f t="shared" si="4"/>
        <v>44</v>
      </c>
    </row>
    <row r="276" spans="1:19" x14ac:dyDescent="0.25">
      <c r="A276" t="s">
        <v>301</v>
      </c>
      <c r="S276">
        <f t="shared" si="4"/>
        <v>64</v>
      </c>
    </row>
    <row r="277" spans="1:19" x14ac:dyDescent="0.25">
      <c r="A277" t="s">
        <v>302</v>
      </c>
      <c r="S277">
        <f t="shared" si="4"/>
        <v>43</v>
      </c>
    </row>
    <row r="278" spans="1:19" x14ac:dyDescent="0.25">
      <c r="A278" t="s">
        <v>303</v>
      </c>
      <c r="S278">
        <f t="shared" si="4"/>
        <v>53</v>
      </c>
    </row>
    <row r="279" spans="1:19" x14ac:dyDescent="0.25">
      <c r="A279" t="s">
        <v>304</v>
      </c>
      <c r="S279">
        <f t="shared" si="4"/>
        <v>96</v>
      </c>
    </row>
    <row r="280" spans="1:19" x14ac:dyDescent="0.25">
      <c r="A280" t="s">
        <v>305</v>
      </c>
      <c r="S280">
        <f t="shared" si="4"/>
        <v>58</v>
      </c>
    </row>
    <row r="281" spans="1:19" x14ac:dyDescent="0.25">
      <c r="A281" t="s">
        <v>306</v>
      </c>
      <c r="S281">
        <f t="shared" si="4"/>
        <v>71</v>
      </c>
    </row>
    <row r="282" spans="1:19" x14ac:dyDescent="0.25">
      <c r="A282" t="s">
        <v>307</v>
      </c>
      <c r="S282">
        <f t="shared" si="4"/>
        <v>42</v>
      </c>
    </row>
    <row r="283" spans="1:19" x14ac:dyDescent="0.25">
      <c r="A283" t="s">
        <v>308</v>
      </c>
      <c r="S283">
        <f t="shared" si="4"/>
        <v>98</v>
      </c>
    </row>
    <row r="284" spans="1:19" x14ac:dyDescent="0.25">
      <c r="A284" t="s">
        <v>309</v>
      </c>
      <c r="S284">
        <f t="shared" si="4"/>
        <v>37</v>
      </c>
    </row>
    <row r="285" spans="1:19" x14ac:dyDescent="0.25">
      <c r="A285" t="s">
        <v>310</v>
      </c>
      <c r="S285">
        <f t="shared" si="4"/>
        <v>39</v>
      </c>
    </row>
    <row r="286" spans="1:19" x14ac:dyDescent="0.25">
      <c r="A286" t="s">
        <v>311</v>
      </c>
      <c r="S286">
        <f t="shared" si="4"/>
        <v>19</v>
      </c>
    </row>
    <row r="287" spans="1:19" x14ac:dyDescent="0.25">
      <c r="A287" t="s">
        <v>312</v>
      </c>
      <c r="S287">
        <f t="shared" si="4"/>
        <v>70</v>
      </c>
    </row>
    <row r="288" spans="1:19" x14ac:dyDescent="0.25">
      <c r="A288" t="s">
        <v>313</v>
      </c>
      <c r="S288">
        <f t="shared" si="4"/>
        <v>25</v>
      </c>
    </row>
    <row r="289" spans="1:19" x14ac:dyDescent="0.25">
      <c r="A289" t="s">
        <v>314</v>
      </c>
      <c r="S289">
        <f t="shared" si="4"/>
        <v>50</v>
      </c>
    </row>
    <row r="290" spans="1:19" x14ac:dyDescent="0.25">
      <c r="A290" t="s">
        <v>315</v>
      </c>
      <c r="S290">
        <f t="shared" si="4"/>
        <v>43</v>
      </c>
    </row>
    <row r="291" spans="1:19" x14ac:dyDescent="0.25">
      <c r="A291" t="s">
        <v>316</v>
      </c>
      <c r="S291">
        <f t="shared" si="4"/>
        <v>61</v>
      </c>
    </row>
    <row r="292" spans="1:19" x14ac:dyDescent="0.25">
      <c r="A292" t="s">
        <v>317</v>
      </c>
      <c r="S292">
        <f t="shared" si="4"/>
        <v>39</v>
      </c>
    </row>
    <row r="293" spans="1:19" x14ac:dyDescent="0.25">
      <c r="A293" t="s">
        <v>318</v>
      </c>
      <c r="S293">
        <f t="shared" si="4"/>
        <v>46</v>
      </c>
    </row>
    <row r="294" spans="1:19" x14ac:dyDescent="0.25">
      <c r="A294" t="s">
        <v>319</v>
      </c>
      <c r="S294">
        <f t="shared" si="4"/>
        <v>19</v>
      </c>
    </row>
    <row r="295" spans="1:19" x14ac:dyDescent="0.25">
      <c r="A295" t="s">
        <v>320</v>
      </c>
      <c r="S295">
        <f t="shared" si="4"/>
        <v>43</v>
      </c>
    </row>
    <row r="296" spans="1:19" x14ac:dyDescent="0.25">
      <c r="A296" t="s">
        <v>321</v>
      </c>
      <c r="S296">
        <f t="shared" si="4"/>
        <v>44</v>
      </c>
    </row>
    <row r="297" spans="1:19" x14ac:dyDescent="0.25">
      <c r="A297" t="s">
        <v>322</v>
      </c>
      <c r="S297">
        <f t="shared" si="4"/>
        <v>29</v>
      </c>
    </row>
    <row r="298" spans="1:19" x14ac:dyDescent="0.25">
      <c r="A298" t="s">
        <v>323</v>
      </c>
      <c r="S298">
        <f t="shared" si="4"/>
        <v>57</v>
      </c>
    </row>
    <row r="299" spans="1:19" x14ac:dyDescent="0.25">
      <c r="A299" t="s">
        <v>324</v>
      </c>
      <c r="S299">
        <f t="shared" si="4"/>
        <v>64</v>
      </c>
    </row>
    <row r="300" spans="1:19" x14ac:dyDescent="0.25">
      <c r="A300" t="s">
        <v>325</v>
      </c>
      <c r="S300">
        <f t="shared" si="4"/>
        <v>50</v>
      </c>
    </row>
    <row r="301" spans="1:19" x14ac:dyDescent="0.25">
      <c r="A301" t="s">
        <v>326</v>
      </c>
      <c r="S301">
        <f t="shared" si="4"/>
        <v>43</v>
      </c>
    </row>
    <row r="302" spans="1:19" x14ac:dyDescent="0.25">
      <c r="A302" t="s">
        <v>327</v>
      </c>
      <c r="S302">
        <f t="shared" si="4"/>
        <v>46</v>
      </c>
    </row>
    <row r="303" spans="1:19" x14ac:dyDescent="0.25">
      <c r="A303" t="s">
        <v>328</v>
      </c>
      <c r="S303">
        <f t="shared" si="4"/>
        <v>45</v>
      </c>
    </row>
    <row r="304" spans="1:19" x14ac:dyDescent="0.25">
      <c r="A304" t="s">
        <v>329</v>
      </c>
      <c r="S304">
        <f t="shared" si="4"/>
        <v>66</v>
      </c>
    </row>
    <row r="305" spans="1:19" x14ac:dyDescent="0.25">
      <c r="A305" t="s">
        <v>330</v>
      </c>
      <c r="S305">
        <f t="shared" si="4"/>
        <v>42</v>
      </c>
    </row>
    <row r="306" spans="1:19" x14ac:dyDescent="0.25">
      <c r="A306" t="s">
        <v>331</v>
      </c>
      <c r="S306">
        <f t="shared" si="4"/>
        <v>35</v>
      </c>
    </row>
    <row r="307" spans="1:19" x14ac:dyDescent="0.25">
      <c r="A307" t="s">
        <v>332</v>
      </c>
      <c r="S307">
        <f t="shared" si="4"/>
        <v>55</v>
      </c>
    </row>
    <row r="308" spans="1:19" x14ac:dyDescent="0.25">
      <c r="A308" t="s">
        <v>333</v>
      </c>
      <c r="S308">
        <f t="shared" si="4"/>
        <v>76</v>
      </c>
    </row>
    <row r="309" spans="1:19" x14ac:dyDescent="0.25">
      <c r="A309" t="s">
        <v>334</v>
      </c>
      <c r="S309">
        <f t="shared" si="4"/>
        <v>70</v>
      </c>
    </row>
    <row r="310" spans="1:19" x14ac:dyDescent="0.25">
      <c r="A310" t="s">
        <v>335</v>
      </c>
      <c r="S310">
        <f t="shared" si="4"/>
        <v>46</v>
      </c>
    </row>
    <row r="311" spans="1:19" x14ac:dyDescent="0.25">
      <c r="A311" t="s">
        <v>336</v>
      </c>
      <c r="S311">
        <f t="shared" si="4"/>
        <v>53</v>
      </c>
    </row>
    <row r="312" spans="1:19" x14ac:dyDescent="0.25">
      <c r="A312" t="s">
        <v>337</v>
      </c>
      <c r="S312">
        <f t="shared" si="4"/>
        <v>42</v>
      </c>
    </row>
    <row r="313" spans="1:19" x14ac:dyDescent="0.25">
      <c r="A313" t="s">
        <v>338</v>
      </c>
      <c r="S313">
        <f t="shared" si="4"/>
        <v>50</v>
      </c>
    </row>
    <row r="314" spans="1:19" x14ac:dyDescent="0.25">
      <c r="A314" t="s">
        <v>339</v>
      </c>
      <c r="S314">
        <f t="shared" si="4"/>
        <v>69</v>
      </c>
    </row>
    <row r="315" spans="1:19" x14ac:dyDescent="0.25">
      <c r="A315" t="s">
        <v>340</v>
      </c>
      <c r="S315">
        <f t="shared" si="4"/>
        <v>40</v>
      </c>
    </row>
    <row r="316" spans="1:19" x14ac:dyDescent="0.25">
      <c r="A316" t="s">
        <v>341</v>
      </c>
      <c r="S316">
        <f t="shared" si="4"/>
        <v>48</v>
      </c>
    </row>
    <row r="317" spans="1:19" x14ac:dyDescent="0.25">
      <c r="A317" t="s">
        <v>342</v>
      </c>
      <c r="S317">
        <f t="shared" si="4"/>
        <v>47</v>
      </c>
    </row>
    <row r="318" spans="1:19" x14ac:dyDescent="0.25">
      <c r="A318" t="s">
        <v>343</v>
      </c>
      <c r="S318">
        <f t="shared" si="4"/>
        <v>91</v>
      </c>
    </row>
    <row r="319" spans="1:19" x14ac:dyDescent="0.25">
      <c r="A319" t="s">
        <v>344</v>
      </c>
      <c r="S319">
        <f t="shared" si="4"/>
        <v>50</v>
      </c>
    </row>
    <row r="320" spans="1:19" x14ac:dyDescent="0.25">
      <c r="A320" t="s">
        <v>345</v>
      </c>
      <c r="S320">
        <f t="shared" si="4"/>
        <v>50</v>
      </c>
    </row>
    <row r="321" spans="1:19" x14ac:dyDescent="0.25">
      <c r="A321" t="s">
        <v>346</v>
      </c>
      <c r="S321">
        <f t="shared" si="4"/>
        <v>41</v>
      </c>
    </row>
    <row r="322" spans="1:19" x14ac:dyDescent="0.25">
      <c r="A322" t="s">
        <v>347</v>
      </c>
      <c r="S322">
        <f t="shared" ref="S322:S385" si="5">LEN(A322)</f>
        <v>44</v>
      </c>
    </row>
    <row r="323" spans="1:19" x14ac:dyDescent="0.25">
      <c r="A323" t="s">
        <v>348</v>
      </c>
      <c r="S323">
        <f t="shared" si="5"/>
        <v>43</v>
      </c>
    </row>
    <row r="324" spans="1:19" x14ac:dyDescent="0.25">
      <c r="A324" t="s">
        <v>349</v>
      </c>
      <c r="S324">
        <f t="shared" si="5"/>
        <v>42</v>
      </c>
    </row>
    <row r="325" spans="1:19" x14ac:dyDescent="0.25">
      <c r="A325" t="s">
        <v>350</v>
      </c>
      <c r="S325">
        <f t="shared" si="5"/>
        <v>43</v>
      </c>
    </row>
    <row r="326" spans="1:19" x14ac:dyDescent="0.25">
      <c r="A326" t="s">
        <v>351</v>
      </c>
      <c r="S326">
        <f t="shared" si="5"/>
        <v>53</v>
      </c>
    </row>
    <row r="327" spans="1:19" x14ac:dyDescent="0.25">
      <c r="A327" t="s">
        <v>352</v>
      </c>
      <c r="S327">
        <f t="shared" si="5"/>
        <v>92</v>
      </c>
    </row>
    <row r="328" spans="1:19" x14ac:dyDescent="0.25">
      <c r="A328" t="s">
        <v>353</v>
      </c>
      <c r="S328">
        <f t="shared" si="5"/>
        <v>47</v>
      </c>
    </row>
    <row r="329" spans="1:19" x14ac:dyDescent="0.25">
      <c r="A329" t="s">
        <v>354</v>
      </c>
      <c r="S329">
        <f t="shared" si="5"/>
        <v>61</v>
      </c>
    </row>
    <row r="330" spans="1:19" x14ac:dyDescent="0.25">
      <c r="A330" t="s">
        <v>355</v>
      </c>
      <c r="S330">
        <f t="shared" si="5"/>
        <v>42</v>
      </c>
    </row>
    <row r="331" spans="1:19" x14ac:dyDescent="0.25">
      <c r="A331" t="s">
        <v>356</v>
      </c>
      <c r="S331">
        <f t="shared" si="5"/>
        <v>40</v>
      </c>
    </row>
    <row r="332" spans="1:19" x14ac:dyDescent="0.25">
      <c r="A332" t="s">
        <v>357</v>
      </c>
      <c r="S332">
        <f t="shared" si="5"/>
        <v>56</v>
      </c>
    </row>
    <row r="333" spans="1:19" x14ac:dyDescent="0.25">
      <c r="A333" t="s">
        <v>358</v>
      </c>
      <c r="S333">
        <f t="shared" si="5"/>
        <v>129</v>
      </c>
    </row>
    <row r="334" spans="1:19" x14ac:dyDescent="0.25">
      <c r="A334" t="s">
        <v>359</v>
      </c>
      <c r="S334">
        <f t="shared" si="5"/>
        <v>48</v>
      </c>
    </row>
    <row r="335" spans="1:19" x14ac:dyDescent="0.25">
      <c r="A335" t="s">
        <v>360</v>
      </c>
      <c r="S335">
        <f t="shared" si="5"/>
        <v>57</v>
      </c>
    </row>
    <row r="336" spans="1:19" x14ac:dyDescent="0.25">
      <c r="A336" t="s">
        <v>361</v>
      </c>
      <c r="S336">
        <f t="shared" si="5"/>
        <v>40</v>
      </c>
    </row>
    <row r="337" spans="1:19" x14ac:dyDescent="0.25">
      <c r="A337" t="s">
        <v>362</v>
      </c>
      <c r="S337">
        <f t="shared" si="5"/>
        <v>50</v>
      </c>
    </row>
    <row r="338" spans="1:19" x14ac:dyDescent="0.25">
      <c r="A338" t="s">
        <v>363</v>
      </c>
      <c r="S338">
        <f t="shared" si="5"/>
        <v>63</v>
      </c>
    </row>
    <row r="339" spans="1:19" x14ac:dyDescent="0.25">
      <c r="A339" t="s">
        <v>364</v>
      </c>
      <c r="S339">
        <f t="shared" si="5"/>
        <v>77</v>
      </c>
    </row>
    <row r="340" spans="1:19" x14ac:dyDescent="0.25">
      <c r="A340" t="s">
        <v>365</v>
      </c>
      <c r="S340">
        <f t="shared" si="5"/>
        <v>46</v>
      </c>
    </row>
    <row r="341" spans="1:19" x14ac:dyDescent="0.25">
      <c r="A341" t="s">
        <v>366</v>
      </c>
      <c r="S341">
        <f t="shared" si="5"/>
        <v>62</v>
      </c>
    </row>
    <row r="342" spans="1:19" x14ac:dyDescent="0.25">
      <c r="A342" t="s">
        <v>367</v>
      </c>
      <c r="S342">
        <f t="shared" si="5"/>
        <v>43</v>
      </c>
    </row>
    <row r="343" spans="1:19" x14ac:dyDescent="0.25">
      <c r="A343" t="s">
        <v>368</v>
      </c>
      <c r="S343">
        <f t="shared" si="5"/>
        <v>49</v>
      </c>
    </row>
    <row r="344" spans="1:19" x14ac:dyDescent="0.25">
      <c r="A344" t="s">
        <v>369</v>
      </c>
      <c r="S344">
        <f t="shared" si="5"/>
        <v>33</v>
      </c>
    </row>
    <row r="345" spans="1:19" x14ac:dyDescent="0.25">
      <c r="A345" t="s">
        <v>370</v>
      </c>
      <c r="S345">
        <f t="shared" si="5"/>
        <v>78</v>
      </c>
    </row>
    <row r="346" spans="1:19" x14ac:dyDescent="0.25">
      <c r="A346" t="s">
        <v>371</v>
      </c>
      <c r="S346">
        <f t="shared" si="5"/>
        <v>36</v>
      </c>
    </row>
    <row r="347" spans="1:19" x14ac:dyDescent="0.25">
      <c r="A347" t="s">
        <v>372</v>
      </c>
      <c r="S347">
        <f t="shared" si="5"/>
        <v>44</v>
      </c>
    </row>
    <row r="348" spans="1:19" x14ac:dyDescent="0.25">
      <c r="A348" t="s">
        <v>373</v>
      </c>
      <c r="S348">
        <f t="shared" si="5"/>
        <v>61</v>
      </c>
    </row>
    <row r="349" spans="1:19" x14ac:dyDescent="0.25">
      <c r="A349" t="s">
        <v>374</v>
      </c>
      <c r="S349">
        <f t="shared" si="5"/>
        <v>66</v>
      </c>
    </row>
    <row r="350" spans="1:19" x14ac:dyDescent="0.25">
      <c r="A350" t="s">
        <v>375</v>
      </c>
      <c r="S350">
        <f t="shared" si="5"/>
        <v>39</v>
      </c>
    </row>
    <row r="351" spans="1:19" x14ac:dyDescent="0.25">
      <c r="A351" t="s">
        <v>376</v>
      </c>
      <c r="S351">
        <f t="shared" si="5"/>
        <v>43</v>
      </c>
    </row>
    <row r="352" spans="1:19" x14ac:dyDescent="0.25">
      <c r="A352" t="s">
        <v>377</v>
      </c>
      <c r="S352">
        <f t="shared" si="5"/>
        <v>71</v>
      </c>
    </row>
    <row r="353" spans="1:19" x14ac:dyDescent="0.25">
      <c r="A353" t="s">
        <v>378</v>
      </c>
      <c r="S353">
        <f t="shared" si="5"/>
        <v>48</v>
      </c>
    </row>
    <row r="354" spans="1:19" x14ac:dyDescent="0.25">
      <c r="A354" t="s">
        <v>379</v>
      </c>
      <c r="S354">
        <f t="shared" si="5"/>
        <v>59</v>
      </c>
    </row>
    <row r="355" spans="1:19" x14ac:dyDescent="0.25">
      <c r="A355" t="s">
        <v>380</v>
      </c>
      <c r="S355">
        <f t="shared" si="5"/>
        <v>45</v>
      </c>
    </row>
    <row r="356" spans="1:19" x14ac:dyDescent="0.25">
      <c r="A356" t="s">
        <v>381</v>
      </c>
      <c r="S356">
        <f t="shared" si="5"/>
        <v>84</v>
      </c>
    </row>
    <row r="357" spans="1:19" x14ac:dyDescent="0.25">
      <c r="A357" t="s">
        <v>382</v>
      </c>
      <c r="S357">
        <f t="shared" si="5"/>
        <v>47</v>
      </c>
    </row>
    <row r="358" spans="1:19" x14ac:dyDescent="0.25">
      <c r="A358" t="s">
        <v>383</v>
      </c>
      <c r="S358">
        <f t="shared" si="5"/>
        <v>48</v>
      </c>
    </row>
    <row r="359" spans="1:19" x14ac:dyDescent="0.25">
      <c r="A359" t="s">
        <v>384</v>
      </c>
      <c r="S359">
        <f t="shared" si="5"/>
        <v>50</v>
      </c>
    </row>
    <row r="360" spans="1:19" x14ac:dyDescent="0.25">
      <c r="A360" t="s">
        <v>385</v>
      </c>
      <c r="S360">
        <f t="shared" si="5"/>
        <v>31</v>
      </c>
    </row>
    <row r="361" spans="1:19" x14ac:dyDescent="0.25">
      <c r="A361" t="s">
        <v>386</v>
      </c>
      <c r="S361">
        <f t="shared" si="5"/>
        <v>42</v>
      </c>
    </row>
    <row r="362" spans="1:19" x14ac:dyDescent="0.25">
      <c r="A362" t="s">
        <v>387</v>
      </c>
      <c r="S362">
        <f t="shared" si="5"/>
        <v>53</v>
      </c>
    </row>
    <row r="363" spans="1:19" x14ac:dyDescent="0.25">
      <c r="A363" t="s">
        <v>388</v>
      </c>
      <c r="S363">
        <f t="shared" si="5"/>
        <v>51</v>
      </c>
    </row>
    <row r="364" spans="1:19" x14ac:dyDescent="0.25">
      <c r="A364" t="s">
        <v>389</v>
      </c>
      <c r="S364">
        <f t="shared" si="5"/>
        <v>68</v>
      </c>
    </row>
    <row r="365" spans="1:19" x14ac:dyDescent="0.25">
      <c r="A365" t="s">
        <v>390</v>
      </c>
      <c r="S365">
        <f t="shared" si="5"/>
        <v>84</v>
      </c>
    </row>
    <row r="366" spans="1:19" x14ac:dyDescent="0.25">
      <c r="A366" t="s">
        <v>391</v>
      </c>
      <c r="S366">
        <f t="shared" si="5"/>
        <v>45</v>
      </c>
    </row>
    <row r="367" spans="1:19" x14ac:dyDescent="0.25">
      <c r="A367" t="s">
        <v>392</v>
      </c>
      <c r="S367">
        <f t="shared" si="5"/>
        <v>107</v>
      </c>
    </row>
    <row r="368" spans="1:19" x14ac:dyDescent="0.25">
      <c r="A368" t="s">
        <v>393</v>
      </c>
      <c r="S368">
        <f t="shared" si="5"/>
        <v>99</v>
      </c>
    </row>
    <row r="369" spans="1:19" x14ac:dyDescent="0.25">
      <c r="A369" t="s">
        <v>394</v>
      </c>
      <c r="S369">
        <f t="shared" si="5"/>
        <v>150</v>
      </c>
    </row>
    <row r="370" spans="1:19" x14ac:dyDescent="0.25">
      <c r="A370" t="s">
        <v>395</v>
      </c>
      <c r="S370">
        <f t="shared" si="5"/>
        <v>117</v>
      </c>
    </row>
    <row r="371" spans="1:19" x14ac:dyDescent="0.25">
      <c r="A371" t="s">
        <v>396</v>
      </c>
      <c r="S371">
        <f t="shared" si="5"/>
        <v>136</v>
      </c>
    </row>
    <row r="372" spans="1:19" x14ac:dyDescent="0.25">
      <c r="A372" t="s">
        <v>397</v>
      </c>
      <c r="S372">
        <f t="shared" si="5"/>
        <v>44</v>
      </c>
    </row>
    <row r="373" spans="1:19" x14ac:dyDescent="0.25">
      <c r="A373" t="s">
        <v>398</v>
      </c>
      <c r="S373">
        <f t="shared" si="5"/>
        <v>39</v>
      </c>
    </row>
    <row r="374" spans="1:19" x14ac:dyDescent="0.25">
      <c r="A374" t="s">
        <v>399</v>
      </c>
      <c r="S374">
        <f t="shared" si="5"/>
        <v>63</v>
      </c>
    </row>
    <row r="375" spans="1:19" x14ac:dyDescent="0.25">
      <c r="A375" t="s">
        <v>400</v>
      </c>
      <c r="S375">
        <f t="shared" si="5"/>
        <v>61</v>
      </c>
    </row>
    <row r="376" spans="1:19" x14ac:dyDescent="0.25">
      <c r="A376" t="s">
        <v>401</v>
      </c>
      <c r="S376">
        <f t="shared" si="5"/>
        <v>41</v>
      </c>
    </row>
    <row r="377" spans="1:19" x14ac:dyDescent="0.25">
      <c r="A377" t="s">
        <v>402</v>
      </c>
      <c r="S377">
        <f t="shared" si="5"/>
        <v>80</v>
      </c>
    </row>
    <row r="378" spans="1:19" x14ac:dyDescent="0.25">
      <c r="A378" t="s">
        <v>403</v>
      </c>
      <c r="S378">
        <f t="shared" si="5"/>
        <v>64</v>
      </c>
    </row>
    <row r="379" spans="1:19" x14ac:dyDescent="0.25">
      <c r="A379" t="s">
        <v>404</v>
      </c>
      <c r="S379">
        <f t="shared" si="5"/>
        <v>42</v>
      </c>
    </row>
    <row r="380" spans="1:19" x14ac:dyDescent="0.25">
      <c r="A380" t="s">
        <v>405</v>
      </c>
      <c r="S380">
        <f t="shared" si="5"/>
        <v>45</v>
      </c>
    </row>
    <row r="381" spans="1:19" x14ac:dyDescent="0.25">
      <c r="A381" t="s">
        <v>406</v>
      </c>
      <c r="S381">
        <f t="shared" si="5"/>
        <v>64</v>
      </c>
    </row>
    <row r="382" spans="1:19" x14ac:dyDescent="0.25">
      <c r="A382" t="s">
        <v>407</v>
      </c>
      <c r="S382">
        <f t="shared" si="5"/>
        <v>46</v>
      </c>
    </row>
    <row r="383" spans="1:19" x14ac:dyDescent="0.25">
      <c r="A383" t="s">
        <v>408</v>
      </c>
      <c r="S383">
        <f t="shared" si="5"/>
        <v>43</v>
      </c>
    </row>
    <row r="384" spans="1:19" x14ac:dyDescent="0.25">
      <c r="A384" t="s">
        <v>409</v>
      </c>
      <c r="S384">
        <f t="shared" si="5"/>
        <v>44</v>
      </c>
    </row>
    <row r="385" spans="1:19" x14ac:dyDescent="0.25">
      <c r="A385" t="s">
        <v>410</v>
      </c>
      <c r="S385">
        <f t="shared" si="5"/>
        <v>69</v>
      </c>
    </row>
    <row r="386" spans="1:19" x14ac:dyDescent="0.25">
      <c r="A386" t="s">
        <v>411</v>
      </c>
      <c r="S386">
        <f t="shared" ref="S386:S449" si="6">LEN(A386)</f>
        <v>32</v>
      </c>
    </row>
    <row r="387" spans="1:19" x14ac:dyDescent="0.25">
      <c r="A387" t="s">
        <v>412</v>
      </c>
      <c r="S387">
        <f t="shared" si="6"/>
        <v>37</v>
      </c>
    </row>
    <row r="388" spans="1:19" x14ac:dyDescent="0.25">
      <c r="A388" t="s">
        <v>413</v>
      </c>
      <c r="S388">
        <f t="shared" si="6"/>
        <v>19</v>
      </c>
    </row>
    <row r="389" spans="1:19" x14ac:dyDescent="0.25">
      <c r="A389" t="s">
        <v>414</v>
      </c>
      <c r="S389">
        <f t="shared" si="6"/>
        <v>25</v>
      </c>
    </row>
    <row r="390" spans="1:19" x14ac:dyDescent="0.25">
      <c r="A390" t="s">
        <v>415</v>
      </c>
      <c r="S390">
        <f t="shared" si="6"/>
        <v>26</v>
      </c>
    </row>
    <row r="391" spans="1:19" x14ac:dyDescent="0.25">
      <c r="A391" t="s">
        <v>416</v>
      </c>
      <c r="S391">
        <f t="shared" si="6"/>
        <v>21</v>
      </c>
    </row>
    <row r="392" spans="1:19" x14ac:dyDescent="0.25">
      <c r="A392" t="s">
        <v>417</v>
      </c>
      <c r="S392">
        <f t="shared" si="6"/>
        <v>44</v>
      </c>
    </row>
    <row r="393" spans="1:19" x14ac:dyDescent="0.25">
      <c r="A393" t="s">
        <v>418</v>
      </c>
      <c r="S393">
        <f t="shared" si="6"/>
        <v>57</v>
      </c>
    </row>
    <row r="394" spans="1:19" x14ac:dyDescent="0.25">
      <c r="A394" t="s">
        <v>419</v>
      </c>
      <c r="S394">
        <f t="shared" si="6"/>
        <v>41</v>
      </c>
    </row>
    <row r="395" spans="1:19" x14ac:dyDescent="0.25">
      <c r="A395" t="s">
        <v>420</v>
      </c>
      <c r="S395">
        <f t="shared" si="6"/>
        <v>46</v>
      </c>
    </row>
    <row r="396" spans="1:19" x14ac:dyDescent="0.25">
      <c r="A396" t="s">
        <v>421</v>
      </c>
      <c r="S396">
        <f t="shared" si="6"/>
        <v>20</v>
      </c>
    </row>
    <row r="397" spans="1:19" x14ac:dyDescent="0.25">
      <c r="A397" t="s">
        <v>422</v>
      </c>
      <c r="S397">
        <f t="shared" si="6"/>
        <v>30</v>
      </c>
    </row>
    <row r="398" spans="1:19" x14ac:dyDescent="0.25">
      <c r="A398" t="s">
        <v>423</v>
      </c>
      <c r="S398">
        <f t="shared" si="6"/>
        <v>55</v>
      </c>
    </row>
    <row r="399" spans="1:19" x14ac:dyDescent="0.25">
      <c r="A399" t="s">
        <v>424</v>
      </c>
      <c r="S399">
        <f t="shared" si="6"/>
        <v>43</v>
      </c>
    </row>
    <row r="400" spans="1:19" x14ac:dyDescent="0.25">
      <c r="A400" t="s">
        <v>425</v>
      </c>
      <c r="S400">
        <f t="shared" si="6"/>
        <v>27</v>
      </c>
    </row>
    <row r="401" spans="1:19" x14ac:dyDescent="0.25">
      <c r="A401" t="s">
        <v>426</v>
      </c>
      <c r="S401">
        <f t="shared" si="6"/>
        <v>26</v>
      </c>
    </row>
    <row r="402" spans="1:19" x14ac:dyDescent="0.25">
      <c r="A402" t="s">
        <v>427</v>
      </c>
      <c r="S402">
        <f t="shared" si="6"/>
        <v>44</v>
      </c>
    </row>
    <row r="403" spans="1:19" x14ac:dyDescent="0.25">
      <c r="A403" t="s">
        <v>428</v>
      </c>
      <c r="S403">
        <f t="shared" si="6"/>
        <v>23</v>
      </c>
    </row>
    <row r="404" spans="1:19" x14ac:dyDescent="0.25">
      <c r="A404" t="s">
        <v>429</v>
      </c>
      <c r="S404">
        <f t="shared" si="6"/>
        <v>21</v>
      </c>
    </row>
    <row r="405" spans="1:19" x14ac:dyDescent="0.25">
      <c r="A405" t="s">
        <v>430</v>
      </c>
      <c r="S405">
        <f t="shared" si="6"/>
        <v>42</v>
      </c>
    </row>
    <row r="406" spans="1:19" x14ac:dyDescent="0.25">
      <c r="A406" t="s">
        <v>431</v>
      </c>
      <c r="S406">
        <f t="shared" si="6"/>
        <v>62</v>
      </c>
    </row>
    <row r="407" spans="1:19" x14ac:dyDescent="0.25">
      <c r="A407" t="s">
        <v>432</v>
      </c>
      <c r="S407">
        <f t="shared" si="6"/>
        <v>42</v>
      </c>
    </row>
    <row r="408" spans="1:19" x14ac:dyDescent="0.25">
      <c r="A408" t="s">
        <v>433</v>
      </c>
      <c r="S408">
        <f t="shared" si="6"/>
        <v>32</v>
      </c>
    </row>
    <row r="409" spans="1:19" x14ac:dyDescent="0.25">
      <c r="A409" t="s">
        <v>434</v>
      </c>
      <c r="S409">
        <f t="shared" si="6"/>
        <v>22</v>
      </c>
    </row>
    <row r="410" spans="1:19" x14ac:dyDescent="0.25">
      <c r="A410" t="s">
        <v>435</v>
      </c>
      <c r="S410">
        <f t="shared" si="6"/>
        <v>25</v>
      </c>
    </row>
    <row r="411" spans="1:19" x14ac:dyDescent="0.25">
      <c r="A411" t="s">
        <v>436</v>
      </c>
      <c r="S411">
        <f t="shared" si="6"/>
        <v>27</v>
      </c>
    </row>
    <row r="412" spans="1:19" x14ac:dyDescent="0.25">
      <c r="A412" t="s">
        <v>437</v>
      </c>
      <c r="S412">
        <f t="shared" si="6"/>
        <v>49</v>
      </c>
    </row>
    <row r="413" spans="1:19" x14ac:dyDescent="0.25">
      <c r="A413" t="s">
        <v>438</v>
      </c>
      <c r="S413">
        <f t="shared" si="6"/>
        <v>42</v>
      </c>
    </row>
    <row r="414" spans="1:19" x14ac:dyDescent="0.25">
      <c r="A414" t="s">
        <v>439</v>
      </c>
      <c r="S414">
        <f t="shared" si="6"/>
        <v>36</v>
      </c>
    </row>
    <row r="415" spans="1:19" x14ac:dyDescent="0.25">
      <c r="A415" t="s">
        <v>440</v>
      </c>
      <c r="S415">
        <f t="shared" si="6"/>
        <v>47</v>
      </c>
    </row>
    <row r="416" spans="1:19" x14ac:dyDescent="0.25">
      <c r="A416" t="s">
        <v>441</v>
      </c>
      <c r="S416">
        <f t="shared" si="6"/>
        <v>64</v>
      </c>
    </row>
    <row r="417" spans="1:19" x14ac:dyDescent="0.25">
      <c r="A417" t="s">
        <v>442</v>
      </c>
      <c r="S417">
        <f t="shared" si="6"/>
        <v>42</v>
      </c>
    </row>
    <row r="418" spans="1:19" x14ac:dyDescent="0.25">
      <c r="A418" t="s">
        <v>443</v>
      </c>
      <c r="S418">
        <f t="shared" si="6"/>
        <v>48</v>
      </c>
    </row>
    <row r="419" spans="1:19" x14ac:dyDescent="0.25">
      <c r="A419" t="s">
        <v>444</v>
      </c>
      <c r="S419">
        <f t="shared" si="6"/>
        <v>43</v>
      </c>
    </row>
    <row r="420" spans="1:19" x14ac:dyDescent="0.25">
      <c r="A420" t="s">
        <v>445</v>
      </c>
      <c r="S420">
        <f t="shared" si="6"/>
        <v>51</v>
      </c>
    </row>
    <row r="421" spans="1:19" x14ac:dyDescent="0.25">
      <c r="A421" t="s">
        <v>446</v>
      </c>
      <c r="S421">
        <f t="shared" si="6"/>
        <v>50</v>
      </c>
    </row>
    <row r="422" spans="1:19" x14ac:dyDescent="0.25">
      <c r="A422" t="s">
        <v>447</v>
      </c>
      <c r="S422">
        <f t="shared" si="6"/>
        <v>40</v>
      </c>
    </row>
    <row r="423" spans="1:19" x14ac:dyDescent="0.25">
      <c r="A423" t="s">
        <v>448</v>
      </c>
      <c r="S423">
        <f t="shared" si="6"/>
        <v>66</v>
      </c>
    </row>
    <row r="424" spans="1:19" x14ac:dyDescent="0.25">
      <c r="A424" t="s">
        <v>449</v>
      </c>
      <c r="S424">
        <f t="shared" si="6"/>
        <v>67</v>
      </c>
    </row>
    <row r="425" spans="1:19" x14ac:dyDescent="0.25">
      <c r="A425" t="s">
        <v>450</v>
      </c>
      <c r="S425">
        <f t="shared" si="6"/>
        <v>46</v>
      </c>
    </row>
    <row r="426" spans="1:19" x14ac:dyDescent="0.25">
      <c r="A426" t="s">
        <v>451</v>
      </c>
      <c r="S426">
        <f t="shared" si="6"/>
        <v>42</v>
      </c>
    </row>
    <row r="427" spans="1:19" x14ac:dyDescent="0.25">
      <c r="A427" t="s">
        <v>452</v>
      </c>
      <c r="S427">
        <f t="shared" si="6"/>
        <v>66</v>
      </c>
    </row>
    <row r="428" spans="1:19" x14ac:dyDescent="0.25">
      <c r="A428" t="s">
        <v>453</v>
      </c>
      <c r="S428">
        <f t="shared" si="6"/>
        <v>43</v>
      </c>
    </row>
    <row r="429" spans="1:19" x14ac:dyDescent="0.25">
      <c r="A429" t="s">
        <v>454</v>
      </c>
      <c r="S429">
        <f t="shared" si="6"/>
        <v>39</v>
      </c>
    </row>
    <row r="430" spans="1:19" x14ac:dyDescent="0.25">
      <c r="A430" t="s">
        <v>455</v>
      </c>
      <c r="S430">
        <f t="shared" si="6"/>
        <v>51</v>
      </c>
    </row>
    <row r="431" spans="1:19" x14ac:dyDescent="0.25">
      <c r="A431" t="s">
        <v>456</v>
      </c>
      <c r="S431">
        <f t="shared" si="6"/>
        <v>36</v>
      </c>
    </row>
    <row r="432" spans="1:19" x14ac:dyDescent="0.25">
      <c r="A432" t="s">
        <v>457</v>
      </c>
      <c r="S432">
        <f t="shared" si="6"/>
        <v>42</v>
      </c>
    </row>
    <row r="433" spans="1:19" x14ac:dyDescent="0.25">
      <c r="A433" t="s">
        <v>458</v>
      </c>
      <c r="S433">
        <f t="shared" si="6"/>
        <v>69</v>
      </c>
    </row>
    <row r="434" spans="1:19" x14ac:dyDescent="0.25">
      <c r="A434" t="s">
        <v>459</v>
      </c>
      <c r="S434">
        <f t="shared" si="6"/>
        <v>52</v>
      </c>
    </row>
    <row r="435" spans="1:19" x14ac:dyDescent="0.25">
      <c r="A435" t="s">
        <v>460</v>
      </c>
      <c r="S435">
        <f t="shared" si="6"/>
        <v>39</v>
      </c>
    </row>
    <row r="436" spans="1:19" x14ac:dyDescent="0.25">
      <c r="A436" t="s">
        <v>461</v>
      </c>
      <c r="S436">
        <f t="shared" si="6"/>
        <v>53</v>
      </c>
    </row>
    <row r="437" spans="1:19" x14ac:dyDescent="0.25">
      <c r="A437" t="s">
        <v>462</v>
      </c>
      <c r="S437">
        <f t="shared" si="6"/>
        <v>44</v>
      </c>
    </row>
    <row r="438" spans="1:19" x14ac:dyDescent="0.25">
      <c r="A438" t="s">
        <v>463</v>
      </c>
      <c r="S438">
        <f t="shared" si="6"/>
        <v>50</v>
      </c>
    </row>
    <row r="439" spans="1:19" x14ac:dyDescent="0.25">
      <c r="A439" t="s">
        <v>464</v>
      </c>
      <c r="S439">
        <f t="shared" si="6"/>
        <v>38</v>
      </c>
    </row>
    <row r="440" spans="1:19" x14ac:dyDescent="0.25">
      <c r="A440" t="s">
        <v>465</v>
      </c>
      <c r="S440">
        <f t="shared" si="6"/>
        <v>44</v>
      </c>
    </row>
    <row r="441" spans="1:19" x14ac:dyDescent="0.25">
      <c r="A441" t="s">
        <v>466</v>
      </c>
      <c r="S441">
        <f t="shared" si="6"/>
        <v>40</v>
      </c>
    </row>
    <row r="442" spans="1:19" x14ac:dyDescent="0.25">
      <c r="A442" t="s">
        <v>467</v>
      </c>
      <c r="S442">
        <f t="shared" si="6"/>
        <v>41</v>
      </c>
    </row>
    <row r="443" spans="1:19" x14ac:dyDescent="0.25">
      <c r="A443" t="s">
        <v>468</v>
      </c>
      <c r="S443">
        <f t="shared" si="6"/>
        <v>41</v>
      </c>
    </row>
    <row r="444" spans="1:19" x14ac:dyDescent="0.25">
      <c r="A444" t="s">
        <v>469</v>
      </c>
      <c r="S444">
        <f t="shared" si="6"/>
        <v>50</v>
      </c>
    </row>
    <row r="445" spans="1:19" x14ac:dyDescent="0.25">
      <c r="A445" t="s">
        <v>470</v>
      </c>
      <c r="S445">
        <f t="shared" si="6"/>
        <v>34</v>
      </c>
    </row>
    <row r="446" spans="1:19" x14ac:dyDescent="0.25">
      <c r="A446" t="s">
        <v>471</v>
      </c>
      <c r="S446">
        <f t="shared" si="6"/>
        <v>42</v>
      </c>
    </row>
    <row r="447" spans="1:19" x14ac:dyDescent="0.25">
      <c r="A447" t="s">
        <v>472</v>
      </c>
      <c r="S447">
        <f t="shared" si="6"/>
        <v>42</v>
      </c>
    </row>
    <row r="448" spans="1:19" x14ac:dyDescent="0.25">
      <c r="A448" t="s">
        <v>473</v>
      </c>
      <c r="S448">
        <f t="shared" si="6"/>
        <v>38</v>
      </c>
    </row>
    <row r="449" spans="1:19" x14ac:dyDescent="0.25">
      <c r="A449" t="s">
        <v>474</v>
      </c>
      <c r="S449">
        <f t="shared" si="6"/>
        <v>71</v>
      </c>
    </row>
    <row r="450" spans="1:19" x14ac:dyDescent="0.25">
      <c r="A450" t="s">
        <v>475</v>
      </c>
      <c r="S450">
        <f t="shared" ref="S450:S488" si="7">LEN(A450)</f>
        <v>89</v>
      </c>
    </row>
    <row r="451" spans="1:19" x14ac:dyDescent="0.25">
      <c r="A451" t="s">
        <v>476</v>
      </c>
      <c r="S451">
        <f t="shared" si="7"/>
        <v>44</v>
      </c>
    </row>
    <row r="452" spans="1:19" x14ac:dyDescent="0.25">
      <c r="A452" t="s">
        <v>477</v>
      </c>
      <c r="S452">
        <f t="shared" si="7"/>
        <v>25</v>
      </c>
    </row>
    <row r="453" spans="1:19" x14ac:dyDescent="0.25">
      <c r="A453" t="s">
        <v>478</v>
      </c>
      <c r="S453">
        <f t="shared" si="7"/>
        <v>42</v>
      </c>
    </row>
    <row r="454" spans="1:19" x14ac:dyDescent="0.25">
      <c r="A454" t="s">
        <v>479</v>
      </c>
      <c r="S454">
        <f t="shared" si="7"/>
        <v>34</v>
      </c>
    </row>
    <row r="455" spans="1:19" x14ac:dyDescent="0.25">
      <c r="A455" t="s">
        <v>480</v>
      </c>
      <c r="S455">
        <f t="shared" si="7"/>
        <v>57</v>
      </c>
    </row>
    <row r="456" spans="1:19" x14ac:dyDescent="0.25">
      <c r="A456" t="s">
        <v>481</v>
      </c>
      <c r="S456">
        <f t="shared" si="7"/>
        <v>43</v>
      </c>
    </row>
    <row r="457" spans="1:19" x14ac:dyDescent="0.25">
      <c r="A457" t="s">
        <v>482</v>
      </c>
      <c r="S457">
        <f t="shared" si="7"/>
        <v>20</v>
      </c>
    </row>
    <row r="458" spans="1:19" x14ac:dyDescent="0.25">
      <c r="A458" t="s">
        <v>483</v>
      </c>
      <c r="S458">
        <f t="shared" si="7"/>
        <v>24</v>
      </c>
    </row>
    <row r="459" spans="1:19" x14ac:dyDescent="0.25">
      <c r="A459" t="s">
        <v>484</v>
      </c>
      <c r="S459">
        <f t="shared" si="7"/>
        <v>31</v>
      </c>
    </row>
    <row r="460" spans="1:19" x14ac:dyDescent="0.25">
      <c r="A460" t="s">
        <v>485</v>
      </c>
      <c r="S460">
        <f t="shared" si="7"/>
        <v>23</v>
      </c>
    </row>
    <row r="461" spans="1:19" x14ac:dyDescent="0.25">
      <c r="A461" t="s">
        <v>486</v>
      </c>
      <c r="S461">
        <f t="shared" si="7"/>
        <v>25</v>
      </c>
    </row>
    <row r="462" spans="1:19" x14ac:dyDescent="0.25">
      <c r="A462" t="s">
        <v>487</v>
      </c>
      <c r="S462">
        <f t="shared" si="7"/>
        <v>22</v>
      </c>
    </row>
    <row r="463" spans="1:19" x14ac:dyDescent="0.25">
      <c r="A463" t="s">
        <v>488</v>
      </c>
      <c r="S463">
        <f t="shared" si="7"/>
        <v>46</v>
      </c>
    </row>
    <row r="464" spans="1:19" x14ac:dyDescent="0.25">
      <c r="A464" t="s">
        <v>489</v>
      </c>
      <c r="S464">
        <f t="shared" si="7"/>
        <v>36</v>
      </c>
    </row>
    <row r="465" spans="1:19" x14ac:dyDescent="0.25">
      <c r="A465" t="s">
        <v>490</v>
      </c>
      <c r="S465">
        <f t="shared" si="7"/>
        <v>43</v>
      </c>
    </row>
    <row r="466" spans="1:19" x14ac:dyDescent="0.25">
      <c r="A466" t="s">
        <v>491</v>
      </c>
      <c r="S466">
        <f t="shared" si="7"/>
        <v>35</v>
      </c>
    </row>
    <row r="467" spans="1:19" x14ac:dyDescent="0.25">
      <c r="A467" t="s">
        <v>492</v>
      </c>
      <c r="S467">
        <f t="shared" si="7"/>
        <v>50</v>
      </c>
    </row>
    <row r="468" spans="1:19" x14ac:dyDescent="0.25">
      <c r="A468" t="s">
        <v>493</v>
      </c>
      <c r="S468">
        <f t="shared" si="7"/>
        <v>24</v>
      </c>
    </row>
    <row r="469" spans="1:19" x14ac:dyDescent="0.25">
      <c r="A469" t="s">
        <v>494</v>
      </c>
      <c r="S469">
        <f t="shared" si="7"/>
        <v>55</v>
      </c>
    </row>
    <row r="470" spans="1:19" x14ac:dyDescent="0.25">
      <c r="A470" t="s">
        <v>495</v>
      </c>
      <c r="S470">
        <f t="shared" si="7"/>
        <v>50</v>
      </c>
    </row>
    <row r="471" spans="1:19" x14ac:dyDescent="0.25">
      <c r="A471" t="s">
        <v>496</v>
      </c>
      <c r="S471">
        <f t="shared" si="7"/>
        <v>35</v>
      </c>
    </row>
    <row r="472" spans="1:19" x14ac:dyDescent="0.25">
      <c r="A472" t="s">
        <v>497</v>
      </c>
      <c r="S472">
        <f t="shared" si="7"/>
        <v>47</v>
      </c>
    </row>
    <row r="473" spans="1:19" x14ac:dyDescent="0.25">
      <c r="A473" t="s">
        <v>498</v>
      </c>
      <c r="S473">
        <f t="shared" si="7"/>
        <v>76</v>
      </c>
    </row>
    <row r="474" spans="1:19" x14ac:dyDescent="0.25">
      <c r="A474" t="s">
        <v>499</v>
      </c>
      <c r="S474">
        <f t="shared" si="7"/>
        <v>69</v>
      </c>
    </row>
    <row r="475" spans="1:19" x14ac:dyDescent="0.25">
      <c r="A475" t="s">
        <v>500</v>
      </c>
      <c r="S475">
        <f t="shared" si="7"/>
        <v>54</v>
      </c>
    </row>
    <row r="476" spans="1:19" x14ac:dyDescent="0.25">
      <c r="A476" t="s">
        <v>501</v>
      </c>
      <c r="S476">
        <f t="shared" si="7"/>
        <v>39</v>
      </c>
    </row>
    <row r="477" spans="1:19" x14ac:dyDescent="0.25">
      <c r="A477" t="s">
        <v>502</v>
      </c>
      <c r="S477">
        <f t="shared" si="7"/>
        <v>96</v>
      </c>
    </row>
    <row r="478" spans="1:19" x14ac:dyDescent="0.25">
      <c r="A478" t="s">
        <v>503</v>
      </c>
      <c r="S478">
        <f t="shared" si="7"/>
        <v>42</v>
      </c>
    </row>
    <row r="479" spans="1:19" x14ac:dyDescent="0.25">
      <c r="A479" t="s">
        <v>504</v>
      </c>
      <c r="S479">
        <f t="shared" si="7"/>
        <v>62</v>
      </c>
    </row>
    <row r="480" spans="1:19" x14ac:dyDescent="0.25">
      <c r="A480" t="s">
        <v>505</v>
      </c>
      <c r="S480">
        <f t="shared" si="7"/>
        <v>67</v>
      </c>
    </row>
    <row r="481" spans="1:19" x14ac:dyDescent="0.25">
      <c r="A481" t="s">
        <v>506</v>
      </c>
      <c r="S481">
        <f t="shared" si="7"/>
        <v>41</v>
      </c>
    </row>
    <row r="482" spans="1:19" x14ac:dyDescent="0.25">
      <c r="A482" t="s">
        <v>507</v>
      </c>
      <c r="S482">
        <f t="shared" si="7"/>
        <v>38</v>
      </c>
    </row>
    <row r="483" spans="1:19" x14ac:dyDescent="0.25">
      <c r="A483" t="s">
        <v>508</v>
      </c>
      <c r="S483">
        <f t="shared" si="7"/>
        <v>105</v>
      </c>
    </row>
    <row r="484" spans="1:19" x14ac:dyDescent="0.25">
      <c r="A484" t="s">
        <v>509</v>
      </c>
      <c r="S484">
        <f t="shared" si="7"/>
        <v>42</v>
      </c>
    </row>
    <row r="485" spans="1:19" x14ac:dyDescent="0.25">
      <c r="A485" t="s">
        <v>510</v>
      </c>
      <c r="S485">
        <f t="shared" si="7"/>
        <v>46</v>
      </c>
    </row>
    <row r="486" spans="1:19" x14ac:dyDescent="0.25">
      <c r="A486" t="s">
        <v>511</v>
      </c>
      <c r="S486">
        <f t="shared" si="7"/>
        <v>47</v>
      </c>
    </row>
    <row r="487" spans="1:19" x14ac:dyDescent="0.25">
      <c r="A487" t="s">
        <v>512</v>
      </c>
      <c r="S487">
        <f t="shared" si="7"/>
        <v>45</v>
      </c>
    </row>
    <row r="488" spans="1:19" x14ac:dyDescent="0.25">
      <c r="A488" t="s">
        <v>513</v>
      </c>
      <c r="S488">
        <f t="shared" si="7"/>
        <v>39</v>
      </c>
    </row>
    <row r="489" spans="1:19" x14ac:dyDescent="0.25">
      <c r="S489">
        <f>SUM(S2:S488)</f>
        <v>24119</v>
      </c>
    </row>
    <row r="490" spans="1:19" x14ac:dyDescent="0.25">
      <c r="A490" t="e">
        <f>SUM(LEN(A2:A488))</f>
        <v>#VALUE!</v>
      </c>
    </row>
  </sheetData>
  <sortState xmlns:xlrd2="http://schemas.microsoft.com/office/spreadsheetml/2017/richdata2" ref="A2:A51">
    <sortCondition ref="A2:A51"/>
  </sortState>
  <mergeCells count="1">
    <mergeCell ref="A1:M1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51b35d3-0456-4d6a-bc2f-da927e91d158">
      <Terms xmlns="http://schemas.microsoft.com/office/infopath/2007/PartnerControls"/>
    </lcf76f155ced4ddcb4097134ff3c332f>
    <TaxCatchAll xmlns="19483571-f922-4e8e-9c1c-26f0a225213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1E48B58A68BE64E9120D347E3E06B3A" ma:contentTypeVersion="19" ma:contentTypeDescription="Crie um novo documento." ma:contentTypeScope="" ma:versionID="2f90046ec77328b7f86417d2e03b3d33">
  <xsd:schema xmlns:xsd="http://www.w3.org/2001/XMLSchema" xmlns:xs="http://www.w3.org/2001/XMLSchema" xmlns:p="http://schemas.microsoft.com/office/2006/metadata/properties" xmlns:ns2="851b35d3-0456-4d6a-bc2f-da927e91d158" xmlns:ns3="19483571-f922-4e8e-9c1c-26f0a2252132" targetNamespace="http://schemas.microsoft.com/office/2006/metadata/properties" ma:root="true" ma:fieldsID="c815006ac2d4f05ee97fdd57e40d8e38" ns2:_="" ns3:_="">
    <xsd:import namespace="851b35d3-0456-4d6a-bc2f-da927e91d158"/>
    <xsd:import namespace="19483571-f922-4e8e-9c1c-26f0a22521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b35d3-0456-4d6a-bc2f-da927e91d1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44a7fbd4-9dae-4371-bb8c-f658cfc5cb1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483571-f922-4e8e-9c1c-26f0a225213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4ca5b0e-bf34-4fb2-bc21-1657b419a556}" ma:internalName="TaxCatchAll" ma:showField="CatchAllData" ma:web="19483571-f922-4e8e-9c1c-26f0a22521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680C06D-F603-4315-BF13-982EB8576E3A}">
  <ds:schemaRefs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purl.org/dc/terms/"/>
    <ds:schemaRef ds:uri="19483571-f922-4e8e-9c1c-26f0a2252132"/>
    <ds:schemaRef ds:uri="851b35d3-0456-4d6a-bc2f-da927e91d158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B69849B-37F1-4594-8DF9-7938EC83CA4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98F71B4-0C4E-464B-8DD1-FE385FAE2F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b35d3-0456-4d6a-bc2f-da927e91d158"/>
    <ds:schemaRef ds:uri="19483571-f922-4e8e-9c1c-26f0a22521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TABELA_apoio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Silva Aguiar</dc:creator>
  <cp:lastModifiedBy>' Marcella Pitaluga.</cp:lastModifiedBy>
  <dcterms:created xsi:type="dcterms:W3CDTF">2025-04-28T22:47:29Z</dcterms:created>
  <dcterms:modified xsi:type="dcterms:W3CDTF">2026-01-28T23:24:58Z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0x01010001E48B58A68BE64E9120D347E3E06B3A</vt:lpwstr>
  </property>
</Properties>
</file>